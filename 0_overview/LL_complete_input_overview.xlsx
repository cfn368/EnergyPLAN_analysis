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ankdk.sharepoint.com/sites/E-Tank/Data/PROJEKTER/04 KERNEKRAFT/Grøn Reform beregninger/EnergyPLAN/LL_project/0_overview/"/>
    </mc:Choice>
  </mc:AlternateContent>
  <xr:revisionPtr revIDLastSave="2229" documentId="11_4A80A4D46E13E72C953671C5A982F00C7B2CE09B" xr6:coauthVersionLast="47" xr6:coauthVersionMax="47" xr10:uidLastSave="{9C4011CB-7399-4800-9F78-5CAA6A1AE770}"/>
  <bookViews>
    <workbookView xWindow="-100" yWindow="0" windowWidth="24242" windowHeight="26421" activeTab="2" xr2:uid="{00000000-000D-0000-FFFF-FFFF00000000}"/>
  </bookViews>
  <sheets>
    <sheet name="0_introduktion" sheetId="10" r:id="rId1"/>
    <sheet name="1_variationsmønstre" sheetId="1" r:id="rId2"/>
    <sheet name="2_efterspørgsel" sheetId="2" r:id="rId3"/>
    <sheet name="3_udbud" sheetId="3" r:id="rId4"/>
    <sheet name="4_omkostninger" sheetId="5" r:id="rId5"/>
    <sheet name="5_simulation" sheetId="8" r:id="rId6"/>
    <sheet name="6_hovedresultater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3" l="1"/>
  <c r="I16" i="3"/>
</calcChain>
</file>

<file path=xl/sharedStrings.xml><?xml version="1.0" encoding="utf-8"?>
<sst xmlns="http://schemas.openxmlformats.org/spreadsheetml/2006/main" count="4154" uniqueCount="1106">
  <si>
    <t>LL d. 14/11 2025</t>
  </si>
  <si>
    <t>Denne notesbog indeholder 8 forløb fra EnergyPLAN; herunder er de kort defineret</t>
  </si>
  <si>
    <t>Forløb</t>
  </si>
  <si>
    <t>Beskrivelse</t>
  </si>
  <si>
    <t>FOA flexible</t>
  </si>
  <si>
    <t>FOA-forløb med et kernekraftværk på 1GW med konstant variationsmønster</t>
  </si>
  <si>
    <t>FOA dh</t>
  </si>
  <si>
    <t>Samme med DH-tilpasset variationsmønster</t>
  </si>
  <si>
    <t>FOA onshore</t>
  </si>
  <si>
    <t>FOA-forløb med et kernekraftværk på 1GW med konstant variationsmønster og en ændring i hhv. hav- og landvindskapaciteterne</t>
  </si>
  <si>
    <t>FOA IDA2045</t>
  </si>
  <si>
    <t>FOA-forløb uden kernekraft og med en enorm effektkapacitet af V2G</t>
  </si>
  <si>
    <t>NOR 1GWnuc</t>
  </si>
  <si>
    <t>Norsk forløb med 1GW kernekraft, replikerer FOA, men reducerer 'hydrogen storage' og ændrer CEEP*</t>
  </si>
  <si>
    <t>NOR 3GWnuc</t>
  </si>
  <si>
    <t>Samme men med 3GW kernekraft, som erstatning for 3.26GW havvind. Sænker 'hydrogen storage' yderligere og definerer en ny CEEP</t>
  </si>
  <si>
    <t>ET: basisforløb</t>
  </si>
  <si>
    <t>…</t>
  </si>
  <si>
    <t>ET: kernekraftforløb</t>
  </si>
  <si>
    <t>*Critical Excess Electricity Production (CEEP) angiver, hvordan energisystemet skal håndtere overproduktion.</t>
  </si>
  <si>
    <t>Det er en række tal, som angiver, hvilke teknologier, som man skal benytte i den angivne rækkefølge</t>
  </si>
  <si>
    <t>Se her angivelsen:</t>
  </si>
  <si>
    <t>Faneoverblik</t>
  </si>
  <si>
    <t>1_variationsmønstre</t>
  </si>
  <si>
    <t>Angiver variationsmønstre brug i analysen. Overraskende genbruger den norske analyse FOAs antagelser komplet</t>
  </si>
  <si>
    <t>2_efterspørgsel</t>
  </si>
  <si>
    <t>Angiver alle eksogene efterspørgsler i modellen</t>
  </si>
  <si>
    <t>3_udbud</t>
  </si>
  <si>
    <t>Angiver alle eksogene udbud i modellen</t>
  </si>
  <si>
    <t>4_omkostninger</t>
  </si>
  <si>
    <t>Angiver alle omkostninger tilknyttet teknologierne. Nb. i nogle af forløbene mangler omkostninger for kernekraft, da det i stedet er indsat eksogent</t>
  </si>
  <si>
    <t>5_simulation</t>
  </si>
  <si>
    <t>Angiver den brugte simulationsstrategi. Jeg er usikker på, hvad 'Market Economic Simulation' egentligt er</t>
  </si>
  <si>
    <t>6_hovedresultater</t>
  </si>
  <si>
    <t>Samling af nogle centrale resultater fra de forskellige scenarier</t>
  </si>
  <si>
    <t>Identifikation</t>
  </si>
  <si>
    <t>Farverne er angiver ud fra afgivelser med' FOA flexible' som udgangspunkt</t>
  </si>
  <si>
    <t>Grønne celler angiver, at det alternative scenarier er ens med 'FOA flexible' i det givne input</t>
  </si>
  <si>
    <t>Røde celler angiver afvigelser fra 'FOA flexible'</t>
  </si>
  <si>
    <t>Jeg har indlagt grønne celler dér, hvor jeg umiddelbart mener, at vi for simplicitetens skyld blot kan følge FOA ala de norske analyser</t>
  </si>
  <si>
    <t>Tab</t>
  </si>
  <si>
    <t>Distribution</t>
  </si>
  <si>
    <t>Electricity</t>
  </si>
  <si>
    <t>Electricity demand</t>
  </si>
  <si>
    <t>DK 2013 Electricity demand</t>
  </si>
  <si>
    <t>-</t>
  </si>
  <si>
    <t>Nord Pool 2024</t>
  </si>
  <si>
    <t>Additional electricity demand</t>
  </si>
  <si>
    <t>const</t>
  </si>
  <si>
    <t>Fixed import/export</t>
  </si>
  <si>
    <t>Hour_Tysklandsexport</t>
  </si>
  <si>
    <t>Heating</t>
  </si>
  <si>
    <t>Heat demand</t>
  </si>
  <si>
    <t>Hour_indv-heat-50percent</t>
  </si>
  <si>
    <t>Heat production</t>
  </si>
  <si>
    <t>vpDkFjv50</t>
  </si>
  <si>
    <t>Solar thermal output</t>
  </si>
  <si>
    <t>DK Solar thermal</t>
  </si>
  <si>
    <t>Cooling</t>
  </si>
  <si>
    <t>Natural cooling input</t>
  </si>
  <si>
    <t>DistrictCoolingDemand_Gothenburg2015</t>
  </si>
  <si>
    <t>Cooling demand</t>
  </si>
  <si>
    <t>Network losses</t>
  </si>
  <si>
    <t>Industry and Fuel</t>
  </si>
  <si>
    <t>Natural gas (Ngas)</t>
  </si>
  <si>
    <t>Hydrogen</t>
  </si>
  <si>
    <t>Transport</t>
  </si>
  <si>
    <t>Hydrogen (H2)</t>
  </si>
  <si>
    <t>IDA_Transport</t>
  </si>
  <si>
    <t>Electricity (dump)</t>
  </si>
  <si>
    <t>Electricity (smart charge)</t>
  </si>
  <si>
    <t>Hour_US2001_transportation_SEV_V2G</t>
  </si>
  <si>
    <t>Desalination</t>
  </si>
  <si>
    <t>Fresh water demand</t>
  </si>
  <si>
    <t>Heat and Electricity</t>
  </si>
  <si>
    <t>CHP heat delivered</t>
  </si>
  <si>
    <t>Hour_chspel</t>
  </si>
  <si>
    <t>varme_atomkraft_dh</t>
  </si>
  <si>
    <t>Central Power Production</t>
  </si>
  <si>
    <t>Nuclear power</t>
  </si>
  <si>
    <t>el_atomkraft_dh</t>
  </si>
  <si>
    <t>Hour_wind_1</t>
  </si>
  <si>
    <t>Geothermal power</t>
  </si>
  <si>
    <t>Hydro water supply</t>
  </si>
  <si>
    <t>External wish for NX (set to 0)</t>
  </si>
  <si>
    <t>zero</t>
  </si>
  <si>
    <t>Variable RE</t>
  </si>
  <si>
    <t>Onshore wind</t>
  </si>
  <si>
    <t>DK onshorewind</t>
  </si>
  <si>
    <t>KF25 (Elsystem - timedata)</t>
  </si>
  <si>
    <t>Offshore wind</t>
  </si>
  <si>
    <t>DK offshorewind</t>
  </si>
  <si>
    <t>PV (solar PV)</t>
  </si>
  <si>
    <t>Solar PV producti</t>
  </si>
  <si>
    <t>River hydro</t>
  </si>
  <si>
    <t>Hour_solar_prod1</t>
  </si>
  <si>
    <t>Tidal power</t>
  </si>
  <si>
    <t>hour_tidal_power</t>
  </si>
  <si>
    <t>Wave power</t>
  </si>
  <si>
    <t>Hour_wawe200</t>
  </si>
  <si>
    <t>CSP (concentrated solar)</t>
  </si>
  <si>
    <t>Solar thermal</t>
  </si>
  <si>
    <t>hour_solar_prod1</t>
  </si>
  <si>
    <t>Heat Only</t>
  </si>
  <si>
    <t>Industrial excess heat</t>
  </si>
  <si>
    <t>SurplusHeatWind2035</t>
  </si>
  <si>
    <t>Waste</t>
  </si>
  <si>
    <t>Distribution of waste</t>
  </si>
  <si>
    <t>Liquid and Gas Fuels</t>
  </si>
  <si>
    <t>BioDiesel plant</t>
  </si>
  <si>
    <t>BioPetrol plant</t>
  </si>
  <si>
    <t>BioJP (jet fuel) plant</t>
  </si>
  <si>
    <t>External Electricity Market</t>
  </si>
  <si>
    <t>Price distribution</t>
  </si>
  <si>
    <t>Nord_pool_system_2013_EUR</t>
  </si>
  <si>
    <t>Variable</t>
  </si>
  <si>
    <t>30.58 TWh/year</t>
  </si>
  <si>
    <t>KF25: Tal bag Figurer (24.5): Klassisk</t>
  </si>
  <si>
    <t>11.8 TWh/year</t>
  </si>
  <si>
    <t>KF25: Tal bag Figurer (24.5): Datacentre</t>
  </si>
  <si>
    <t>Electric cooling</t>
  </si>
  <si>
    <t>1.63 TWh/year</t>
  </si>
  <si>
    <t>Flexible Demand (1 day)</t>
  </si>
  <si>
    <t>2,12 TWh/year (effect 966 MW)</t>
  </si>
  <si>
    <t>Flexible demand (1 week)</t>
  </si>
  <si>
    <t>0.6 TWh/year (effect 549 MW)</t>
  </si>
  <si>
    <t>Coal boiler</t>
  </si>
  <si>
    <t>Eff.-termal 0.8</t>
  </si>
  <si>
    <t>Oil boiler</t>
  </si>
  <si>
    <t>Eff.-termal 0.85</t>
  </si>
  <si>
    <t>Ngas boiler</t>
  </si>
  <si>
    <t>Eff.-termal 0.95</t>
  </si>
  <si>
    <t>Biomass boiler</t>
  </si>
  <si>
    <t>Eff.-termal 0.9</t>
  </si>
  <si>
    <t>H2 micro CHP</t>
  </si>
  <si>
    <t>Eff.-termal: 0.5; eff.elec: 0.3; cap-limit: 1</t>
  </si>
  <si>
    <t>Ngas micro CHP</t>
  </si>
  <si>
    <t>Biomass micro CHP</t>
  </si>
  <si>
    <t>Heat Pump</t>
  </si>
  <si>
    <t>Heat Demandl: 15.08; eff.elec: 3.9; cap-limit: 0.9</t>
  </si>
  <si>
    <t>DH Production</t>
  </si>
  <si>
    <t>Group 2: 11.88; Group 3: 23.75</t>
  </si>
  <si>
    <t>Group 1: 0.2; Group 2: 0.19; Group 3: 0.19</t>
  </si>
  <si>
    <t>Electricity for cooling</t>
  </si>
  <si>
    <t>Consumption: 1.63; COP: 1.5</t>
  </si>
  <si>
    <t>DH for cooling group 1</t>
  </si>
  <si>
    <t>COP: 2</t>
  </si>
  <si>
    <t>DH for cooling group 2</t>
  </si>
  <si>
    <t>DH for cooling group 3</t>
  </si>
  <si>
    <t>Heat pumps/chillers</t>
  </si>
  <si>
    <t>COP: 2; input: 1.3; production: 1.3</t>
  </si>
  <si>
    <t>Ngas</t>
  </si>
  <si>
    <t>Industry: 3.4</t>
  </si>
  <si>
    <t>Biomass</t>
  </si>
  <si>
    <t>JP</t>
  </si>
  <si>
    <t>Electrofuel: 10.15 TWh/year</t>
  </si>
  <si>
    <t>Diesel</t>
  </si>
  <si>
    <t>Electrofuel: 3.12 TWh/year</t>
  </si>
  <si>
    <t>Amonia</t>
  </si>
  <si>
    <t>Electrofuel: 3.64 TWh/year</t>
  </si>
  <si>
    <t>Total: 1.2 TWh/year</t>
  </si>
  <si>
    <t>Electricity dump charge</t>
  </si>
  <si>
    <t>Total: 7.13 TWh/year</t>
  </si>
  <si>
    <t>Electricity smart charge</t>
  </si>
  <si>
    <t>Total: 7.96 TWh/year</t>
  </si>
  <si>
    <t>Max. share of cars during peak</t>
  </si>
  <si>
    <t>0.2</t>
  </si>
  <si>
    <t>grid to battery cap.</t>
  </si>
  <si>
    <t>6000 MW</t>
  </si>
  <si>
    <t>40239 MW</t>
  </si>
  <si>
    <t>share of parked cars</t>
  </si>
  <si>
    <t>0.7</t>
  </si>
  <si>
    <t>Battery storage cap.</t>
  </si>
  <si>
    <t>36.63 GWh</t>
  </si>
  <si>
    <t>Capacity of B2G</t>
  </si>
  <si>
    <t>Efficiency</t>
  </si>
  <si>
    <t>0.9</t>
  </si>
  <si>
    <t>Fresh water punp eff.</t>
  </si>
  <si>
    <t>0.85 kWh/m3 water</t>
  </si>
  <si>
    <t>eff. elec. consump.</t>
  </si>
  <si>
    <t>7 kWh/m3 fresh water</t>
  </si>
  <si>
    <t>fresh water/salt water</t>
  </si>
  <si>
    <t>0.7 kWh/m3</t>
  </si>
  <si>
    <t>Brine share of salt water</t>
  </si>
  <si>
    <t>0.3 kWh/m3</t>
  </si>
  <si>
    <t>Turbine eff.</t>
  </si>
  <si>
    <t>0.9 kWh/kWh</t>
  </si>
  <si>
    <t>Pump eff.</t>
  </si>
  <si>
    <t>0.85 kWh/kWh</t>
  </si>
  <si>
    <t>Energy eq. of brine</t>
  </si>
  <si>
    <t>2 kWh/m3</t>
  </si>
  <si>
    <t>Boilers: Thermal cap.</t>
  </si>
  <si>
    <t>Gr. 2: 4644; Gr. 3: 7630.5</t>
  </si>
  <si>
    <t>Boilers: Eff.</t>
  </si>
  <si>
    <t>Gr. 1: 0.9; Gr. 2: 1; Gr. 3: 1</t>
  </si>
  <si>
    <t>Boilers: Fixed share</t>
  </si>
  <si>
    <t>Gr. 2: 0.5; Gr. 3: 0.5</t>
  </si>
  <si>
    <t>CHP condescending: Elec. cap.</t>
  </si>
  <si>
    <t>Gr. 3: 3100 MW/-e</t>
  </si>
  <si>
    <t>CHP condescending: Elec. eff.</t>
  </si>
  <si>
    <t>Gr. 3: 0.56</t>
  </si>
  <si>
    <t>CHP BP: Elec. cap.</t>
  </si>
  <si>
    <t>Gr. 2: 1461; Gr. 3; 2650</t>
  </si>
  <si>
    <t>CHP BP: Elec. eff.</t>
  </si>
  <si>
    <t>Gr. 2: 0.5; Gr. 3; 0.53</t>
  </si>
  <si>
    <t>CHP BP: Thermal eff.</t>
  </si>
  <si>
    <t>Gr. 2: 0.48; Gr. 3; 0.34</t>
  </si>
  <si>
    <t>Industrial CHP elec.</t>
  </si>
  <si>
    <t>Gr. 2: 1.12</t>
  </si>
  <si>
    <t>Condensing PP2</t>
  </si>
  <si>
    <t>Cap. 1700 MW/-e; eff. 0.45</t>
  </si>
  <si>
    <t>Nuclear</t>
  </si>
  <si>
    <t>Cap. 1000 MW/-e; eff. 0.33; cor. fac.: 0.9</t>
  </si>
  <si>
    <t>0 MW</t>
  </si>
  <si>
    <t>3000 MW</t>
  </si>
  <si>
    <t>Nuclear partload</t>
  </si>
  <si>
    <t>Transmission line capacity</t>
  </si>
  <si>
    <t>0 MW (balancing as closed system)</t>
  </si>
  <si>
    <t>10682 MW</t>
  </si>
  <si>
    <t>KF25 (El og FJV)</t>
  </si>
  <si>
    <t>både tal fra og til (10297MW)</t>
  </si>
  <si>
    <t>Wind</t>
  </si>
  <si>
    <t>Cap. 5000 MW; cor. fac. 0.543</t>
  </si>
  <si>
    <t>2915 MW</t>
  </si>
  <si>
    <t>KF25 (EL og FJV)</t>
  </si>
  <si>
    <t>Cap. 12560 MW; cor. fac. 0.395</t>
  </si>
  <si>
    <t>14075 MW</t>
  </si>
  <si>
    <t>9300 MW</t>
  </si>
  <si>
    <t>KF25 (EL og FJV) + 4800</t>
  </si>
  <si>
    <t>KF25 (EL og FJV) + 2800</t>
  </si>
  <si>
    <t>PV</t>
  </si>
  <si>
    <t>Cap. 10000 MW; cor. fac. 0.318</t>
  </si>
  <si>
    <t>Cap. 132 MW; cor. fac. 0.96</t>
  </si>
  <si>
    <t>Concentrated solar</t>
  </si>
  <si>
    <t>Storage eff. 0.5 pct./h, eff. 0.3</t>
  </si>
  <si>
    <t>Solar Thermal: Prod.</t>
  </si>
  <si>
    <t>Gr. 2: 1.65 TWh/year; Gr. 3: 0.45 TWh/year</t>
  </si>
  <si>
    <t>Solar Thermal: Storage</t>
  </si>
  <si>
    <t>Gr. 2: 10 GWh; Gr. 3: 40 GWh</t>
  </si>
  <si>
    <t>Solar Thermal: Loss</t>
  </si>
  <si>
    <t>Gr. 3: 0.01 GWh</t>
  </si>
  <si>
    <t>Solar Thermal: Share</t>
  </si>
  <si>
    <t>Gr. 1: 1Gr. 2: 0.5; Gr. 3: 1</t>
  </si>
  <si>
    <t>Compression HP: Elec. cap.</t>
  </si>
  <si>
    <t>Gr. 2: 700 MW/-e; Gr. 3: 1600 MW/-e</t>
  </si>
  <si>
    <t>Compression HP: COP</t>
  </si>
  <si>
    <t>Gr. 2: 3.9; Gr. 3: 3.9</t>
  </si>
  <si>
    <t>Geothermal heat</t>
  </si>
  <si>
    <t>Gr. 2: 2.1 TWh/year; Gr. 3: 5.44 TWh/year</t>
  </si>
  <si>
    <t>Industrial Excess Heat</t>
  </si>
  <si>
    <t>Gr. 2: 2.15 TWh/year; Gr. 3: 6.35 TWh/year</t>
  </si>
  <si>
    <t>Fuel Distribution</t>
  </si>
  <si>
    <t>CHP2</t>
  </si>
  <si>
    <t>(0,0,1,0)</t>
  </si>
  <si>
    <t>Waste input</t>
  </si>
  <si>
    <t>Gr. 2: 0.49 TWh/year; Gr. 3: 4.55 TWh/year</t>
  </si>
  <si>
    <t>DH production eff.</t>
  </si>
  <si>
    <t>Gr. 1: 0.8; Gr. 2: 0.8; Gr. 3: 0.7093</t>
  </si>
  <si>
    <t>Electricity prod. eff.</t>
  </si>
  <si>
    <t>Gr. 2: 0; Gr. 3: 0.2591</t>
  </si>
  <si>
    <t>Biofuels</t>
  </si>
  <si>
    <t>BDP: BioDiesel Share</t>
  </si>
  <si>
    <t>0.24</t>
  </si>
  <si>
    <t>BPP: Electricity share</t>
  </si>
  <si>
    <t>0.01</t>
  </si>
  <si>
    <t>BPP: Steam share</t>
  </si>
  <si>
    <t>0.12</t>
  </si>
  <si>
    <t>BPP: Steam efficiency</t>
  </si>
  <si>
    <t>1.25</t>
  </si>
  <si>
    <t>BPP: BioPetrol</t>
  </si>
  <si>
    <t>0.5</t>
  </si>
  <si>
    <t>BPP: DH gp. 3 share</t>
  </si>
  <si>
    <t>0.1</t>
  </si>
  <si>
    <t>BJPP: Electricity share</t>
  </si>
  <si>
    <t>BJPP: Steam share</t>
  </si>
  <si>
    <t>BJPP: Steam efficiency</t>
  </si>
  <si>
    <t>BJPP: BioPetrol</t>
  </si>
  <si>
    <t>BJPP: DH gp. 3 share</t>
  </si>
  <si>
    <t>Biogas</t>
  </si>
  <si>
    <t>Biogas Plant: Dry bimass</t>
  </si>
  <si>
    <t>4.89</t>
  </si>
  <si>
    <t>Biogas Plant: Wet biomass</t>
  </si>
  <si>
    <t>12.5</t>
  </si>
  <si>
    <t>Biogas Plant: Electricity</t>
  </si>
  <si>
    <t>0.6</t>
  </si>
  <si>
    <t>Biogas Plant: Pyrolysis</t>
  </si>
  <si>
    <t>1.38</t>
  </si>
  <si>
    <t>Biogas Plant: Output</t>
  </si>
  <si>
    <t>16 TWh/year biogas</t>
  </si>
  <si>
    <t>Biogas Plant: Grid eff.</t>
  </si>
  <si>
    <t>1</t>
  </si>
  <si>
    <t>Gasification Plant: Biomass</t>
  </si>
  <si>
    <t>6.94 TWh/year</t>
  </si>
  <si>
    <t>Gasification Plant: Elec. share</t>
  </si>
  <si>
    <t>0.011</t>
  </si>
  <si>
    <t>Gasification Plant: Steam share</t>
  </si>
  <si>
    <t>0.13</t>
  </si>
  <si>
    <t>Gasification Plant: Cold gas eff.</t>
  </si>
  <si>
    <t>0.801</t>
  </si>
  <si>
    <t>Gasification Plant: Grid eff.</t>
  </si>
  <si>
    <t>0.82</t>
  </si>
  <si>
    <t>Total hydrogen demand</t>
  </si>
  <si>
    <t>Cap. 4330 MW/-e; eff. fuel: 0.768; eff. DH gr4: 0.05</t>
  </si>
  <si>
    <t>Hydrogen storage</t>
  </si>
  <si>
    <t>320 GWh</t>
  </si>
  <si>
    <t>Hydro. Stor.: 180.2 GWh</t>
  </si>
  <si>
    <t>155.7 GWh</t>
  </si>
  <si>
    <t>Electrofuels</t>
  </si>
  <si>
    <t>CO2 Hydrog: SynGridGas</t>
  </si>
  <si>
    <t>Co2/Syngas: 0.189 Mton/TWh</t>
  </si>
  <si>
    <t>H2/SynGridGas: 1.206 TWh/TWh</t>
  </si>
  <si>
    <t>CO2 Hydrog: LiqFuel</t>
  </si>
  <si>
    <t>Co2/Syngass: 0.263 Mton/TWh</t>
  </si>
  <si>
    <t>H2/SynGridGas: 1.193 TWh/TWh</t>
  </si>
  <si>
    <t>Output: 5.18 TWh/year</t>
  </si>
  <si>
    <t>CO2 Hydrog: Carbon Recy.</t>
  </si>
  <si>
    <t>Elec/CO2: 0.09 TWh/Mton; Max. cap: 400 CO2/hour</t>
  </si>
  <si>
    <t>N2: N2 and hydrogen</t>
  </si>
  <si>
    <t>N2/NH3: 0.158 MTon/TWh</t>
  </si>
  <si>
    <t>hydrogen 1.145 TWh/TWh</t>
  </si>
  <si>
    <t>Output: 3.64 NH3</t>
  </si>
  <si>
    <t>N2: Nitogen capture</t>
  </si>
  <si>
    <t>Elec/N2: 0.124 TWh/Mton</t>
  </si>
  <si>
    <t>Biomass hydrogenation1</t>
  </si>
  <si>
    <t>SynGridGas eff.: 0.83, hydrogen share: 1.26</t>
  </si>
  <si>
    <t>LiqFuel eff.: 0.806, hydrogen share: 0.49</t>
  </si>
  <si>
    <t>LiqFuel output: 11.65 TWh/year</t>
  </si>
  <si>
    <t>DH gr. 3: 0.0303 share of gas+hydrogen</t>
  </si>
  <si>
    <t>Biomass hydrogenation2</t>
  </si>
  <si>
    <t>SynGridGas eff.: 0.82, hydrogen share: 0.37</t>
  </si>
  <si>
    <t>DH gr. 3: 0.05 share of gas+hydrogen</t>
  </si>
  <si>
    <t>Liquid electrofuels synt.</t>
  </si>
  <si>
    <t>Eff. (ElectroJP, Methanol,DME)=(0.7405,1,1)</t>
  </si>
  <si>
    <t>HTL and Pyrolysis</t>
  </si>
  <si>
    <t>HTL: Biomass</t>
  </si>
  <si>
    <t>4.17 TWh/year</t>
  </si>
  <si>
    <t>HTL: Fuel input eff.</t>
  </si>
  <si>
    <t>(0.446, 0.205, 0.628, 0.288, 0, 0.119, 0.162, 0.122)</t>
  </si>
  <si>
    <t>Pyrolysis: Biomass</t>
  </si>
  <si>
    <t>5.56 TWh/year</t>
  </si>
  <si>
    <t>Pyrolysis: Fuel input eff.</t>
  </si>
  <si>
    <t>(0.19, 0.069, 0.129, 0.4, 200)</t>
  </si>
  <si>
    <t>CO2</t>
  </si>
  <si>
    <t>CO2 content: Coal</t>
  </si>
  <si>
    <t>95 kg/GJ</t>
  </si>
  <si>
    <t>CO2 content: Oil, Diesel, JP</t>
  </si>
  <si>
    <t>74 kg/GJ</t>
  </si>
  <si>
    <t>CO2 content: Ngas</t>
  </si>
  <si>
    <t>56.7 kg/GJ</t>
  </si>
  <si>
    <t>CO2 content: LPG</t>
  </si>
  <si>
    <t>59.64 kg/GJ</t>
  </si>
  <si>
    <t>Balancing and Storage</t>
  </si>
  <si>
    <t>Electricity: CEEP</t>
  </si>
  <si>
    <t>CEEP: 923450000; 4.: 500 MW; 5.: 1000MW</t>
  </si>
  <si>
    <t>CEEP: 234500000</t>
  </si>
  <si>
    <t>CEEP: 234597000</t>
  </si>
  <si>
    <t>CEEP: 923457000</t>
  </si>
  <si>
    <t>Electricity: Rockbed</t>
  </si>
  <si>
    <t>loss rate: 0.05; PP1/CHP: 0.8; steam/fuel 1</t>
  </si>
  <si>
    <t>Electricity: Elec. Storage</t>
  </si>
  <si>
    <t>charge: 6000 MW; eff.: 1; Storage cap.: 820 GWh</t>
  </si>
  <si>
    <t>obs</t>
  </si>
  <si>
    <t>discar ge: 6000 MW; eff.: 1</t>
  </si>
  <si>
    <t>Thermal Storage</t>
  </si>
  <si>
    <t>Gr. 2: 56 GWh; Gr. 3: 100 GWh</t>
  </si>
  <si>
    <t>Liquid and gas guel</t>
  </si>
  <si>
    <t>Gas storage: 4500 GWh</t>
  </si>
  <si>
    <t>Cost: General</t>
  </si>
  <si>
    <t>Interest rate (%)</t>
  </si>
  <si>
    <t>Cost: Investment</t>
  </si>
  <si>
    <t>H and E: Small CHP units</t>
  </si>
  <si>
    <t>MEUR/unit: 0.89; Years: 25; % Inv.: 1.03</t>
  </si>
  <si>
    <t>H and E: Large CHP units</t>
  </si>
  <si>
    <t>MEUR/unit: 0.71; Years: 25; % Inv.: 3.33</t>
  </si>
  <si>
    <t>H and E: Heat Storage CHP</t>
  </si>
  <si>
    <t>MEUR/unit: 3; Years: 40; % Inv.: 0.29</t>
  </si>
  <si>
    <t>H and E: Waste CHP</t>
  </si>
  <si>
    <t>MEUR/unit: 217.19; Years: 25; % Inv.: 2.34</t>
  </si>
  <si>
    <t>H and E: Absorp. HP (Waste)</t>
  </si>
  <si>
    <t>MEUR/unit: 0; Years: 0; % Inv.: 0</t>
  </si>
  <si>
    <t>H and E: Heat Pump gr. 2</t>
  </si>
  <si>
    <t>MEUR/unit: 2.19; Years: 25; % Inv.: 0.52</t>
  </si>
  <si>
    <t>H and E: Heat Pump gr. 3</t>
  </si>
  <si>
    <t>H and E: DHP Boiler group 1</t>
  </si>
  <si>
    <t>H and E: Boilers gr. 2 and 3</t>
  </si>
  <si>
    <t>MEUR/unit: 0.5; Years: 25; % Inv.: 3.7</t>
  </si>
  <si>
    <t>H and E: Electr. Boiler gr. 2+3</t>
  </si>
  <si>
    <t>MEUR/unit: 0.14; Years: 20; % Inv.: 0.72</t>
  </si>
  <si>
    <t>H and E: Large Power Plants</t>
  </si>
  <si>
    <t>MEUR/unit: 0.58; Years: 25; % Inv.: 3.35</t>
  </si>
  <si>
    <t>H and E: Nuclear</t>
  </si>
  <si>
    <t>MEUR/unit: 4.12; Years: 60; % Inv.: 1.9</t>
  </si>
  <si>
    <t>0; 0; 0</t>
  </si>
  <si>
    <t>MEUR/unit: 6.18; 1.82</t>
  </si>
  <si>
    <t>MEUR/unit: 4.36; Years: 60; % Inv.: 1.9</t>
  </si>
  <si>
    <t>OECD IEA</t>
  </si>
  <si>
    <t>H and E: Interconnection</t>
  </si>
  <si>
    <t>MEUR/unit: 1.2; Years: 40; % Inv.: 1</t>
  </si>
  <si>
    <t>H and E: Charge el1 storage</t>
  </si>
  <si>
    <t>MEUR/unit: 0; Years: 40; % Inv.: 1</t>
  </si>
  <si>
    <t>H and E: Discharge el1 storage</t>
  </si>
  <si>
    <t>H and E: El1 storage cap</t>
  </si>
  <si>
    <t>MEUR/unit: 0; Years: 50; % Inv.: 1.5</t>
  </si>
  <si>
    <t>H and E: Charge el2 storage</t>
  </si>
  <si>
    <t>H and E: Discharge el2 storage</t>
  </si>
  <si>
    <t>H and E: El2 storage cap</t>
  </si>
  <si>
    <t>H and E: Indust. CHP Electr.</t>
  </si>
  <si>
    <t>MEUR/unit: 63.5; Years: 31; % Inv.: 2.14</t>
  </si>
  <si>
    <t>H and E: Indust. CHP Heat</t>
  </si>
  <si>
    <t>H and E: Rock Steam Storage</t>
  </si>
  <si>
    <t>RE: Wind</t>
  </si>
  <si>
    <t>MEUR/unit: 1.03; Years: 30; % Inv.: 1.67</t>
  </si>
  <si>
    <t>RE: Wind offshore</t>
  </si>
  <si>
    <t>MEUR/unit: 1.9; Years: 30; % Inv.: 2.51</t>
  </si>
  <si>
    <t>MEUR/unit: 2.5; Years: 30; % Inv.: 2.51</t>
  </si>
  <si>
    <t>RE: Photo Voltaic</t>
  </si>
  <si>
    <t>MEUR/unit: 0.6; Years: 40; % Inv.: 1.5</t>
  </si>
  <si>
    <t>RE: Wave power</t>
  </si>
  <si>
    <t>MEUR/unit: 2.91; Years: 26; % Inv.: 2.64</t>
  </si>
  <si>
    <t>RE: Tidal Power</t>
  </si>
  <si>
    <t>MEUR/unit: 5.33; Years: 20; % Inv.: 3.66</t>
  </si>
  <si>
    <t>RE: CSP Solar Power</t>
  </si>
  <si>
    <t>MEUR/unit: 5.98; Years: 25; % Inv.: 8.21</t>
  </si>
  <si>
    <t>RE: River of hydro</t>
  </si>
  <si>
    <t>MEUR/unit: 3.3; Years: 50; % Inv.: 2</t>
  </si>
  <si>
    <t>RE: Hydro Power</t>
  </si>
  <si>
    <t>RE: Hydro Storage</t>
  </si>
  <si>
    <t>MEUR/unit: 7.5; Years: 50; % Inv.: 1.5</t>
  </si>
  <si>
    <t>RE: Hydro Pump</t>
  </si>
  <si>
    <t>MEUR/unit: 0.6; Years: 50; % Inv.: 1.5</t>
  </si>
  <si>
    <t>RE: Geothermal Electr.</t>
  </si>
  <si>
    <t>MEUR/unit: 4.03; Years: 20; % Inv.: 3.48</t>
  </si>
  <si>
    <t>RE: Geothermal Heat</t>
  </si>
  <si>
    <t>MEUR/unit: 283.33; Years: 30; % Inv.: 1.36</t>
  </si>
  <si>
    <t>RE: Solar thermal</t>
  </si>
  <si>
    <t>MEUR/unit: 352.72; Years: 30; % Inv.: 0</t>
  </si>
  <si>
    <t>RE: Heat Storage Solar</t>
  </si>
  <si>
    <t>MEUR/unit: 0.51; Years: 25; % Inv.: 0.59</t>
  </si>
  <si>
    <t>RE: Indust. Excess Heat</t>
  </si>
  <si>
    <t>MEUR/unit: 30; Years: 30; % Inv.: 1</t>
  </si>
  <si>
    <t>L&amp;GF: Biogas Plant</t>
  </si>
  <si>
    <t>MEUR/unit: 234.06; Years: 20; % Inv.: 13.42</t>
  </si>
  <si>
    <t>L&amp;GF: Gasification Plant</t>
  </si>
  <si>
    <t>MEUR/unit: 1.58; Years: 20; % Inv.: 1.63</t>
  </si>
  <si>
    <t>L&amp;GF: BioGas Upgrade</t>
  </si>
  <si>
    <t>MEUR/unit: 0.27; Years: 15; % Inv.: 3.5</t>
  </si>
  <si>
    <t>L&amp;GF: Gasification Upgrade</t>
  </si>
  <si>
    <t>L&amp;GF: BioDiesel Plant</t>
  </si>
  <si>
    <t>L&amp;GF: BioPetrol Plant</t>
  </si>
  <si>
    <t>L&amp;GF: BioJPPlant</t>
  </si>
  <si>
    <t>L&amp;GF: Carbon Recycling</t>
  </si>
  <si>
    <t>MEUR/unit: 60; Years: 20; % Inv.: 4</t>
  </si>
  <si>
    <t>L&amp;GF: Methanation (CO2)</t>
  </si>
  <si>
    <t>L&amp;GF: LiquidFuel synth (CO2)</t>
  </si>
  <si>
    <t>MEUR/unit: 0.3; Years: 25; % Inv.: 4</t>
  </si>
  <si>
    <t>L&amp;GF: Methanation (biomass)</t>
  </si>
  <si>
    <t>L&amp;GF: LiquidFuel synth (biomass)</t>
  </si>
  <si>
    <t>L&amp;GF: Methanation (biogas)</t>
  </si>
  <si>
    <t>L&amp;GF: LiquidFuel synth (biogas)</t>
  </si>
  <si>
    <t>L&amp;GF: JP Synthesis</t>
  </si>
  <si>
    <t>MEUR/unit: 0.37; Years: 25; % Inv.: 4</t>
  </si>
  <si>
    <t>L&amp;GF: Electrolyser</t>
  </si>
  <si>
    <t>MEUR/unit: 0.6; Years: 20; % Inv.: 3</t>
  </si>
  <si>
    <t>L&amp;GF: Hydrogen Storage</t>
  </si>
  <si>
    <t>MEUR/unit: 29.7; Years: 48; % Inv.: 0.01</t>
  </si>
  <si>
    <t>L&amp;GF: Gas Storage</t>
  </si>
  <si>
    <t>MEUR/unit: 0.081; Years: 50; % Inv.: 1</t>
  </si>
  <si>
    <t>L&amp;GF: Oil Storage</t>
  </si>
  <si>
    <t>MEUR/unit: 0.023; Years: 50; % Inv.: 0.6</t>
  </si>
  <si>
    <t>L&amp;GF: Methanol Storage</t>
  </si>
  <si>
    <t>MEUR/unit: 0.052; Years: 50; % Inv.: 0.6</t>
  </si>
  <si>
    <t>L&amp;GF: Air capture unit (N2)</t>
  </si>
  <si>
    <t>L&amp;GF: Ammonia production</t>
  </si>
  <si>
    <t>MEUR/unit: 1.26; Years: 20; % Inv.: 2</t>
  </si>
  <si>
    <t>L&amp;GF: HTL</t>
  </si>
  <si>
    <t>MEUR/unit: 1.25; Years: 20; % Inv.: 4</t>
  </si>
  <si>
    <t>L&amp;GF: Pyrolysis</t>
  </si>
  <si>
    <t>MEUR/unit: 0.52; Years: 25; % Inv.: 7</t>
  </si>
  <si>
    <t>HI: Indv. boilers</t>
  </si>
  <si>
    <t>MEUR/unit: 4.52; Years: 20; % Inv.: 7.86</t>
  </si>
  <si>
    <t>HI: Indv. CHP</t>
  </si>
  <si>
    <t>MEUR/unit: 12; Years: 10; % Inv.: 0</t>
  </si>
  <si>
    <t>HI: Indv. Heat Pump</t>
  </si>
  <si>
    <t>MEUR/unit: 8.91; Years: 16; % Inv.: 2.49</t>
  </si>
  <si>
    <t>HI: Indv. Electric heat</t>
  </si>
  <si>
    <t>MEUR/unit: 2.8; Years: 30; % Inv.: 0.82</t>
  </si>
  <si>
    <t>HI: Indv. Solar thermal</t>
  </si>
  <si>
    <t>MEUR/unit: 1533; Years: 30; % Inv.: 1.35</t>
  </si>
  <si>
    <t>RV: Bicycles</t>
  </si>
  <si>
    <t>RV: Motorbikes</t>
  </si>
  <si>
    <t>MEUR/unit: 6; Years: 15; % Inv.: 5</t>
  </si>
  <si>
    <t>RV: Electric Cars</t>
  </si>
  <si>
    <t>MEUR/unit: 18.1; Years: 16; % Inv.: 4.3</t>
  </si>
  <si>
    <t>RV: Conventional Cars</t>
  </si>
  <si>
    <t>MEUR/unit: 20.6; Years: 16; % Inv.: 4.1</t>
  </si>
  <si>
    <t>RV: DME Buses</t>
  </si>
  <si>
    <t>MEUR/unit: 177.2; Years: 6; % Inv.: 9.1</t>
  </si>
  <si>
    <t>RV: Diesel Buses</t>
  </si>
  <si>
    <t>RV: DME Trucks</t>
  </si>
  <si>
    <t>MEUR/unit: 99.2; Years: 6; % Inv.: 21.1</t>
  </si>
  <si>
    <t>RV: Diesel Trucks</t>
  </si>
  <si>
    <t>Water</t>
  </si>
  <si>
    <t>MEUR/unit: 0.08</t>
  </si>
  <si>
    <t>Add: Electric Grid</t>
  </si>
  <si>
    <t>MEUR/unit: 4217; Years: 45; % Inv.: 1</t>
  </si>
  <si>
    <t>Add: Extra costs for 4GDH in buildings</t>
  </si>
  <si>
    <t>MEUR/unit: 1314; Years: 20; % Inv.: 0</t>
  </si>
  <si>
    <t>Add: Interconnections</t>
  </si>
  <si>
    <t>MEUR/unit: 743; Years: 45; % Inv.: 1</t>
  </si>
  <si>
    <t>Add: District cooling</t>
  </si>
  <si>
    <t>MEUR/unit: 207; Years: 25; % Inv.: 2</t>
  </si>
  <si>
    <t>Add: Heat savings existing buildings</t>
  </si>
  <si>
    <t>MEUR/unit: 41300; Years: 40; % Inv.: 0</t>
  </si>
  <si>
    <t>Add: Electrification of industry</t>
  </si>
  <si>
    <t>MEUR/unit: 800; Years: 25; % Inv.: 0</t>
  </si>
  <si>
    <t>Add: Fuel conversion from oil to bio in industry</t>
  </si>
  <si>
    <t>MEUR/unit: 267; Years: 25; % Inv.: 0</t>
  </si>
  <si>
    <t>Add: Electricity savings in households</t>
  </si>
  <si>
    <t>MEUR/unit: 1364; Years: 10; % Inv.: 0</t>
  </si>
  <si>
    <t>Add: Electricity savings in industry</t>
  </si>
  <si>
    <t>MEUR/unit: 3466; Years: 15; % Inv.: 0</t>
  </si>
  <si>
    <t>Add: Fuel savings in industry</t>
  </si>
  <si>
    <t>MEUR/unit: 4000; Years: 20; % Inv.: 0</t>
  </si>
  <si>
    <t>Add: Flexible electricity demand in households</t>
  </si>
  <si>
    <t>MEUR/unit: 222; Years: 10; % Inv.: 1</t>
  </si>
  <si>
    <t>Add: Flexible electricity demand in industry</t>
  </si>
  <si>
    <t>MEUR/unit: 244; Years: 20; % Inv.: 1</t>
  </si>
  <si>
    <t>Add: District Heating Grid Expansion</t>
  </si>
  <si>
    <t>MEUR/unit: 2667; Years: 40; % Inv.: 1.25</t>
  </si>
  <si>
    <t>Add: DH heat exchangers</t>
  </si>
  <si>
    <t>MEUR/unit: 938; Years: 25; % Inv.: 2</t>
  </si>
  <si>
    <t>Add: Vehicles</t>
  </si>
  <si>
    <t>MEUR/unit: 100940; Years: 13; % Inv.: 1.95</t>
  </si>
  <si>
    <t>Add: Charging stations</t>
  </si>
  <si>
    <t>MEUR/unit: 1137; Years: 30; % Inv.: 0</t>
  </si>
  <si>
    <t>Add: Marginal transport infrastructure costs</t>
  </si>
  <si>
    <t>MEUR/unit: 5150; Years: 30; % Inv.: 0</t>
  </si>
  <si>
    <t>Add: Gasnet</t>
  </si>
  <si>
    <t>MEUR/unit: 200; Years: 24; % Inv.: 0</t>
  </si>
  <si>
    <t>Add: Hydrogen net</t>
  </si>
  <si>
    <t>MEUR/unit: 1333; Years: 50; % Inv.: 0.1</t>
  </si>
  <si>
    <t>Add: Windmøller til Nordsøen (300 MW)</t>
  </si>
  <si>
    <t>Cost: Fuel</t>
  </si>
  <si>
    <t>Fuel price:</t>
  </si>
  <si>
    <t>Coal: 3 EUR/GJ; FuelOil: 12.5 EUR/GJ</t>
  </si>
  <si>
    <t>Diesel: 17 EUR/GJ; Petrol: 17 EUR/GJ</t>
  </si>
  <si>
    <t>Ngas: 7.8 EUR/GJ; Biomass: 6.9 EUR/GJ</t>
  </si>
  <si>
    <t>Dry biomass 9 EUR/GJ</t>
  </si>
  <si>
    <t>Fuel handling costs: biomass to biomass:</t>
  </si>
  <si>
    <t>1.19 EUR/GJ</t>
  </si>
  <si>
    <t>Fuel handling costs: biomass to dry biomass:</t>
  </si>
  <si>
    <t>0.91 EUR/GJ</t>
  </si>
  <si>
    <t>Fuel handling costs: biomass to wet biomass:</t>
  </si>
  <si>
    <t>1.49 EUR/GJ</t>
  </si>
  <si>
    <t>Fuel handling costs: central CHP</t>
  </si>
  <si>
    <t>Coal: 0.18; FuelOil: 0.3; Ngas: 0.27</t>
  </si>
  <si>
    <t>Biomass: 3.66</t>
  </si>
  <si>
    <t>Fuel handling costs: dec. CHP</t>
  </si>
  <si>
    <t>FuelOil: 1.18; Ngas: 0.86 biomass: 3.95</t>
  </si>
  <si>
    <t>Fuel handling costs: HH</t>
  </si>
  <si>
    <t>Diesel 3.3; Ngas: 2.19; Biomass: 6.45</t>
  </si>
  <si>
    <t>Fuel handling costs: Transportation</t>
  </si>
  <si>
    <t>Diesel: 3.3; Petrol: 3.76; Ngas: 1.59; air-petrol: 0.3</t>
  </si>
  <si>
    <t>Cost: OM</t>
  </si>
  <si>
    <t>District Heating and CHP: Boiler</t>
  </si>
  <si>
    <t>0.50 EUR/MWh-th</t>
  </si>
  <si>
    <t>District Heating and CHP: CHP</t>
  </si>
  <si>
    <t>3.36 EUR/MWh-e</t>
  </si>
  <si>
    <t>District Heating and CHP: Heat Pump</t>
  </si>
  <si>
    <t>0.43 EUR/MWh-e</t>
  </si>
  <si>
    <t>District Heating and CHP: Electric heating</t>
  </si>
  <si>
    <t>0.50 EUR/MWh-e</t>
  </si>
  <si>
    <t>Power Plants: Hydro Power</t>
  </si>
  <si>
    <t>1.19 EUR/MWh-e</t>
  </si>
  <si>
    <t>Power Plants: Condensing</t>
  </si>
  <si>
    <t>2.92 EUR/MWh-e</t>
  </si>
  <si>
    <t>Power Plants: Geothermal</t>
  </si>
  <si>
    <t>15 EUR/MWh-e</t>
  </si>
  <si>
    <t>Power Plants: GTL M1</t>
  </si>
  <si>
    <t>1.80 EUR/MWh-fuel-input</t>
  </si>
  <si>
    <t>Power Plants: GTL M2</t>
  </si>
  <si>
    <t>1.00 EUR/MWh-fuel-input</t>
  </si>
  <si>
    <t>Storage: Electrolyser</t>
  </si>
  <si>
    <t>0 EUR/MWh-e</t>
  </si>
  <si>
    <t>Storage: Pump</t>
  </si>
  <si>
    <t>Storage: Turbine</t>
  </si>
  <si>
    <t>Storage: V2G Discharge</t>
  </si>
  <si>
    <t>Storage: Hydro Power Pump</t>
  </si>
  <si>
    <t>Storage: Steam Storage</t>
  </si>
  <si>
    <t>Individual: Boiler</t>
  </si>
  <si>
    <t>0 EUR/MWh-th</t>
  </si>
  <si>
    <t>Individual: CHP</t>
  </si>
  <si>
    <t>Individual: Heat Pump</t>
  </si>
  <si>
    <t>Individual: Electric heating</t>
  </si>
  <si>
    <t>Cost: External market</t>
  </si>
  <si>
    <t>Addition factor</t>
  </si>
  <si>
    <t>1 EUR/MWh</t>
  </si>
  <si>
    <t>Multiplication  factor</t>
  </si>
  <si>
    <t>1.3 EUR/MWh</t>
  </si>
  <si>
    <t>Price elasticity</t>
  </si>
  <si>
    <t>0.0027 EUR/mwh/MW</t>
  </si>
  <si>
    <t>Base price</t>
  </si>
  <si>
    <t>20 EUR/MWh</t>
  </si>
  <si>
    <t>Simulation</t>
  </si>
  <si>
    <t>Type</t>
  </si>
  <si>
    <t>Technical simulation</t>
  </si>
  <si>
    <t>Market Economic</t>
  </si>
  <si>
    <t>Strategy</t>
  </si>
  <si>
    <t>(2) Both heat and electricity demands</t>
  </si>
  <si>
    <t>choice (1)</t>
  </si>
  <si>
    <t>Individual heat pump simulation</t>
  </si>
  <si>
    <t>(1) Critical excess production</t>
  </si>
  <si>
    <t>choice (2)</t>
  </si>
  <si>
    <t>V2G regulation</t>
  </si>
  <si>
    <t>(1) Critical excess and PPP</t>
  </si>
  <si>
    <t>Rock bed regulation</t>
  </si>
  <si>
    <t>Prioritization</t>
  </si>
  <si>
    <t>(123) hydro, V2G, Rock bed storage</t>
  </si>
  <si>
    <t>Metric</t>
  </si>
  <si>
    <t>TOTAL ANNUAL COSTS (M EUR)</t>
  </si>
  <si>
    <t>Annual Investment costs (M EUR)</t>
  </si>
  <si>
    <t>Fixed operation costs (M EUR)</t>
  </si>
  <si>
    <t>Variable costs (M EUR)</t>
  </si>
  <si>
    <t>RES share of elec. prod.</t>
  </si>
  <si>
    <t>RES electricity prod. (TWh/year)</t>
  </si>
  <si>
    <t>CO2-emission (Mt)</t>
  </si>
  <si>
    <t>Advarsel</t>
  </si>
  <si>
    <t>Critical Excess Electricity Production</t>
  </si>
  <si>
    <t>None</t>
  </si>
  <si>
    <t>EnergyPLAN model 16.3</t>
  </si>
  <si>
    <t xml:space="preserve">                                                                </t>
  </si>
  <si>
    <t>OVERVIEW OF INVESTMENT COSTS</t>
  </si>
  <si>
    <t xml:space="preserve">    Interest Rate:</t>
  </si>
  <si>
    <t xml:space="preserve">     3,0%</t>
  </si>
  <si>
    <t xml:space="preserve">    </t>
  </si>
  <si>
    <t xml:space="preserve">        </t>
  </si>
  <si>
    <t>FUEL BALANCE</t>
  </si>
  <si>
    <t xml:space="preserve">RESULT: Data-set:                    </t>
  </si>
  <si>
    <t>2023-2025_shock.txt</t>
  </si>
  <si>
    <t xml:space="preserve">                                                          </t>
  </si>
  <si>
    <t>Technical regulation no. 2</t>
  </si>
  <si>
    <t xml:space="preserve">                                                           </t>
  </si>
  <si>
    <t xml:space="preserve">COSTS (M EUR):       </t>
  </si>
  <si>
    <t>Total Inv.</t>
  </si>
  <si>
    <t>Annual Inv.</t>
  </si>
  <si>
    <t>Fixed</t>
  </si>
  <si>
    <t xml:space="preserve">       </t>
  </si>
  <si>
    <t xml:space="preserve"> </t>
  </si>
  <si>
    <t xml:space="preserve">      </t>
  </si>
  <si>
    <t>Primary Energy</t>
  </si>
  <si>
    <t>Critical Excess Regulation Strategy:  923457000</t>
  </si>
  <si>
    <t xml:space="preserve">                                                              </t>
  </si>
  <si>
    <t xml:space="preserve">Costs     </t>
  </si>
  <si>
    <t xml:space="preserve">Costs    </t>
  </si>
  <si>
    <t>O&amp;M</t>
  </si>
  <si>
    <t xml:space="preserve">             </t>
  </si>
  <si>
    <t xml:space="preserve">TWh/year      </t>
  </si>
  <si>
    <t xml:space="preserve">DHP    </t>
  </si>
  <si>
    <t xml:space="preserve">CHP2   </t>
  </si>
  <si>
    <t xml:space="preserve">CHP3  </t>
  </si>
  <si>
    <t xml:space="preserve">Boiler2 </t>
  </si>
  <si>
    <t xml:space="preserve">Boiler3   </t>
  </si>
  <si>
    <t xml:space="preserve">PP    </t>
  </si>
  <si>
    <t xml:space="preserve">Geo/Nu.   </t>
  </si>
  <si>
    <t xml:space="preserve">Hydro  </t>
  </si>
  <si>
    <t>Waste/HTL</t>
  </si>
  <si>
    <t xml:space="preserve">CAES/ELT </t>
  </si>
  <si>
    <t xml:space="preserve">BioCon  </t>
  </si>
  <si>
    <t xml:space="preserve">EFuel   </t>
  </si>
  <si>
    <t xml:space="preserve">VRES    </t>
  </si>
  <si>
    <t xml:space="preserve">SolarTh  </t>
  </si>
  <si>
    <t xml:space="preserve">Transp. </t>
  </si>
  <si>
    <t xml:space="preserve">Househ </t>
  </si>
  <si>
    <t xml:space="preserve">Ind/Var  </t>
  </si>
  <si>
    <t>Total</t>
  </si>
  <si>
    <t xml:space="preserve">                                                                                     </t>
  </si>
  <si>
    <t xml:space="preserve">Solar thermal       </t>
  </si>
  <si>
    <t xml:space="preserve">           </t>
  </si>
  <si>
    <t>Electric Grid</t>
  </si>
  <si>
    <t xml:space="preserve">                          </t>
  </si>
  <si>
    <t xml:space="preserve">Coal     </t>
  </si>
  <si>
    <t xml:space="preserve">    0,00</t>
  </si>
  <si>
    <t xml:space="preserve">Total Calculation Time               </t>
  </si>
  <si>
    <t xml:space="preserve">                                        </t>
  </si>
  <si>
    <t xml:space="preserve">Small CHP units     </t>
  </si>
  <si>
    <t xml:space="preserve">Oil      </t>
  </si>
  <si>
    <t xml:space="preserve">Loading of Data                      </t>
  </si>
  <si>
    <t xml:space="preserve">Heat Pump gr. 2     </t>
  </si>
  <si>
    <t>Extra costs for 4GDH in buildings (100% impl)</t>
  </si>
  <si>
    <t xml:space="preserve">N.Gas    </t>
  </si>
  <si>
    <t xml:space="preserve">    4,85</t>
  </si>
  <si>
    <t xml:space="preserve">    1,81</t>
  </si>
  <si>
    <t xml:space="preserve">    0,43</t>
  </si>
  <si>
    <t xml:space="preserve">    0,15</t>
  </si>
  <si>
    <t xml:space="preserve">    6,27</t>
  </si>
  <si>
    <t xml:space="preserve">  -16,47</t>
  </si>
  <si>
    <t xml:space="preserve">    3,40</t>
  </si>
  <si>
    <t xml:space="preserve">Calculating Strategy 1               </t>
  </si>
  <si>
    <t xml:space="preserve">Heat Storage CHP    </t>
  </si>
  <si>
    <t xml:space="preserve">Biomass  </t>
  </si>
  <si>
    <t xml:space="preserve">   14,77</t>
  </si>
  <si>
    <t xml:space="preserve">   24,33</t>
  </si>
  <si>
    <t xml:space="preserve">   42,50</t>
  </si>
  <si>
    <t xml:space="preserve">Calculating Strategy 2               </t>
  </si>
  <si>
    <t xml:space="preserve">Large CHP units     </t>
  </si>
  <si>
    <t>Interconnections (værdien var 743 men har slettet) vi skal snakke omdet</t>
  </si>
  <si>
    <t>Renewable</t>
  </si>
  <si>
    <t xml:space="preserve">    7,54</t>
  </si>
  <si>
    <t xml:space="preserve">   81,93</t>
  </si>
  <si>
    <t xml:space="preserve">    4,47</t>
  </si>
  <si>
    <t xml:space="preserve">   93,94</t>
  </si>
  <si>
    <t xml:space="preserve">Calculating Heatstorage              </t>
  </si>
  <si>
    <t xml:space="preserve">Heat Pump gr. 3     </t>
  </si>
  <si>
    <t xml:space="preserve">H2 etc.  </t>
  </si>
  <si>
    <t xml:space="preserve">  -20,49</t>
  </si>
  <si>
    <t xml:space="preserve">   -7,37</t>
  </si>
  <si>
    <t xml:space="preserve">   26,66</t>
  </si>
  <si>
    <t xml:space="preserve">    1,20</t>
  </si>
  <si>
    <t xml:space="preserve">Calc. economy and Fuel               </t>
  </si>
  <si>
    <t xml:space="preserve">Heat Storage Solar  </t>
  </si>
  <si>
    <t>District cooling (only for room temp) (note costs were removed compared to IDA)</t>
  </si>
  <si>
    <t xml:space="preserve">Biofuel  </t>
  </si>
  <si>
    <t xml:space="preserve">  -16,91</t>
  </si>
  <si>
    <t xml:space="preserve">   16,91</t>
  </si>
  <si>
    <t xml:space="preserve">Boilers gr. 2 and 3 </t>
  </si>
  <si>
    <t xml:space="preserve">Nucl/CCS </t>
  </si>
  <si>
    <t xml:space="preserve">   17,99</t>
  </si>
  <si>
    <t>ANNUAL CO2 EMISSIONS (Mt):</t>
  </si>
  <si>
    <t xml:space="preserve">Large Power Plants  </t>
  </si>
  <si>
    <t>Heat savings existing buildings</t>
  </si>
  <si>
    <t xml:space="preserve">Total    </t>
  </si>
  <si>
    <t xml:space="preserve">   25,53</t>
  </si>
  <si>
    <t xml:space="preserve">    0,49</t>
  </si>
  <si>
    <t xml:space="preserve">    9,75</t>
  </si>
  <si>
    <t xml:space="preserve">   18,11</t>
  </si>
  <si>
    <t xml:space="preserve">    6,80</t>
  </si>
  <si>
    <t xml:space="preserve">  154,86</t>
  </si>
  <si>
    <t xml:space="preserve">CO2-emission (total)                 </t>
  </si>
  <si>
    <t xml:space="preserve">   0,089</t>
  </si>
  <si>
    <t xml:space="preserve">Wind                </t>
  </si>
  <si>
    <t xml:space="preserve">CO2-emission (corrected)             </t>
  </si>
  <si>
    <t xml:space="preserve">Wind offshore       </t>
  </si>
  <si>
    <t>Electrification of industry</t>
  </si>
  <si>
    <t xml:space="preserve">                                </t>
  </si>
  <si>
    <t>Detailed emissions (ton)</t>
  </si>
  <si>
    <t xml:space="preserve">Photo Voltaic       </t>
  </si>
  <si>
    <t xml:space="preserve">SO2    </t>
  </si>
  <si>
    <t xml:space="preserve">   0,092</t>
  </si>
  <si>
    <t xml:space="preserve">SHARE OF RES (incl. Biomass):        </t>
  </si>
  <si>
    <t xml:space="preserve">                                                </t>
  </si>
  <si>
    <t xml:space="preserve">Wave power          </t>
  </si>
  <si>
    <t>Fuel conversion from oil to bio in industry</t>
  </si>
  <si>
    <t xml:space="preserve">PM2.5  </t>
  </si>
  <si>
    <t xml:space="preserve">RES share of PES                     </t>
  </si>
  <si>
    <t xml:space="preserve">    88,1</t>
  </si>
  <si>
    <t>percent</t>
  </si>
  <si>
    <t xml:space="preserve">                                 </t>
  </si>
  <si>
    <t xml:space="preserve">River of hydro      </t>
  </si>
  <si>
    <t xml:space="preserve">NOx    </t>
  </si>
  <si>
    <t xml:space="preserve">RES share of elec. prod.             </t>
  </si>
  <si>
    <t xml:space="preserve">    85,9</t>
  </si>
  <si>
    <t xml:space="preserve">Hydro Power         </t>
  </si>
  <si>
    <t>Electricity savings in households</t>
  </si>
  <si>
    <t xml:space="preserve">CH4    </t>
  </si>
  <si>
    <t xml:space="preserve">RES electricity prod.                </t>
  </si>
  <si>
    <t xml:space="preserve">   83,11</t>
  </si>
  <si>
    <t>TWh/year</t>
  </si>
  <si>
    <t xml:space="preserve">Hydro Storage       </t>
  </si>
  <si>
    <t xml:space="preserve">N2O    </t>
  </si>
  <si>
    <t xml:space="preserve">Hydro Pump          </t>
  </si>
  <si>
    <t>Electricity savings in industry</t>
  </si>
  <si>
    <t xml:space="preserve">ANNUAL FUEL CONSUMPTIONS (TWh/year)  </t>
  </si>
  <si>
    <t xml:space="preserve">TOTAL:  </t>
  </si>
  <si>
    <t>HOUSEHOLDS:</t>
  </si>
  <si>
    <t xml:space="preserve">                             </t>
  </si>
  <si>
    <t xml:space="preserve">Nuclear             </t>
  </si>
  <si>
    <t xml:space="preserve">Fuel Consumption (total)             </t>
  </si>
  <si>
    <t xml:space="preserve">Geothermal Electr.  </t>
  </si>
  <si>
    <t>Fuel savings in industry</t>
  </si>
  <si>
    <t xml:space="preserve">CAES Fuel Consumption                </t>
  </si>
  <si>
    <t xml:space="preserve">Electrolyser        </t>
  </si>
  <si>
    <t xml:space="preserve">Fuel(incl.Biomass excl.RES)          </t>
  </si>
  <si>
    <t xml:space="preserve">   60,92</t>
  </si>
  <si>
    <t xml:space="preserve">Hydrogen Storage    </t>
  </si>
  <si>
    <t>Flexible electricity demand in households</t>
  </si>
  <si>
    <t xml:space="preserve">Fuel Consumption (incl. H2)          </t>
  </si>
  <si>
    <t xml:space="preserve">  175,35</t>
  </si>
  <si>
    <t xml:space="preserve">Charge el1 storage    </t>
  </si>
  <si>
    <t xml:space="preserve">Fuel Consumption (corrected)         </t>
  </si>
  <si>
    <t xml:space="preserve">Discharge el1 storage    </t>
  </si>
  <si>
    <t>Flexible electricity demand in industry</t>
  </si>
  <si>
    <t xml:space="preserve">Coal Consumption                     </t>
  </si>
  <si>
    <t xml:space="preserve">El1 storage cap    </t>
  </si>
  <si>
    <t xml:space="preserve">Oil Consumption                      </t>
  </si>
  <si>
    <t xml:space="preserve">Indv. boilers       </t>
  </si>
  <si>
    <t>District Heating Grid Expansion</t>
  </si>
  <si>
    <t xml:space="preserve">Ngas Consumption                     </t>
  </si>
  <si>
    <t xml:space="preserve">Indv. CHP           </t>
  </si>
  <si>
    <t xml:space="preserve">Biomass Consumption                  </t>
  </si>
  <si>
    <t xml:space="preserve">Indv. Heat Pump     </t>
  </si>
  <si>
    <t>DH heat exchangers</t>
  </si>
  <si>
    <t xml:space="preserve">Nuclear Fuel Consumption             </t>
  </si>
  <si>
    <t xml:space="preserve">Indv. Electric heat </t>
  </si>
  <si>
    <t xml:space="preserve">Waste Input                          </t>
  </si>
  <si>
    <t xml:space="preserve">    5,04</t>
  </si>
  <si>
    <t xml:space="preserve">Indv. Solar thermal </t>
  </si>
  <si>
    <t>Vehicles</t>
  </si>
  <si>
    <t xml:space="preserve">V2G Pre Load Hours                   </t>
  </si>
  <si>
    <t xml:space="preserve">    1,00</t>
  </si>
  <si>
    <t xml:space="preserve">BioGas Upgrade      </t>
  </si>
  <si>
    <t>Gasification Upgrade</t>
  </si>
  <si>
    <t>Charging stations</t>
  </si>
  <si>
    <t xml:space="preserve">ANNUAL COSTS (M EUR)                 </t>
  </si>
  <si>
    <t>VARIABLE:</t>
  </si>
  <si>
    <t>BREAKDOWN:</t>
  </si>
  <si>
    <t xml:space="preserve">                     </t>
  </si>
  <si>
    <t xml:space="preserve">DHP Boiler group 1  </t>
  </si>
  <si>
    <t xml:space="preserve">Fuel ex. Ngas exchange                       </t>
  </si>
  <si>
    <t xml:space="preserve">Waste CHP           </t>
  </si>
  <si>
    <t>Marginal transport infrastructure costs (yearly)</t>
  </si>
  <si>
    <t xml:space="preserve">Coal                                                   </t>
  </si>
  <si>
    <t xml:space="preserve">                      </t>
  </si>
  <si>
    <t xml:space="preserve">Absorp. HP (Waste)  </t>
  </si>
  <si>
    <t xml:space="preserve">FuelOil                                                </t>
  </si>
  <si>
    <t xml:space="preserve">Biogas Plant        </t>
  </si>
  <si>
    <t>Gasnet</t>
  </si>
  <si>
    <t xml:space="preserve">Gasoil/Diesel                                          </t>
  </si>
  <si>
    <t xml:space="preserve">Gasification Plant  </t>
  </si>
  <si>
    <t xml:space="preserve">Petrol/JP                                              </t>
  </si>
  <si>
    <t xml:space="preserve">BioDiesel Plant     </t>
  </si>
  <si>
    <t>Hydrogen net</t>
  </si>
  <si>
    <t xml:space="preserve">Gas handling                                           </t>
  </si>
  <si>
    <t xml:space="preserve">BioPetrol Plant     </t>
  </si>
  <si>
    <t xml:space="preserve">Biomass                                                </t>
  </si>
  <si>
    <t xml:space="preserve">BioJPPlant          </t>
  </si>
  <si>
    <t>Vindmøller til Nordsøen (300 MW)</t>
  </si>
  <si>
    <t xml:space="preserve">Food income                                            </t>
  </si>
  <si>
    <t xml:space="preserve">Tidal Power         </t>
  </si>
  <si>
    <t xml:space="preserve">Waste                                                  </t>
  </si>
  <si>
    <t xml:space="preserve">CSP Solar Power     </t>
  </si>
  <si>
    <t xml:space="preserve">Carbon Recycling    </t>
  </si>
  <si>
    <t xml:space="preserve">Ngas Exchange costs                          </t>
  </si>
  <si>
    <t xml:space="preserve">Methanation         </t>
  </si>
  <si>
    <t xml:space="preserve">Liquidation + JP    </t>
  </si>
  <si>
    <t xml:space="preserve">Marginal operation costs                     </t>
  </si>
  <si>
    <t xml:space="preserve">Desalination Plant  </t>
  </si>
  <si>
    <t xml:space="preserve">Water storage       </t>
  </si>
  <si>
    <t xml:space="preserve">Electricity exchange                         </t>
  </si>
  <si>
    <t xml:space="preserve">Gas Storage         </t>
  </si>
  <si>
    <t xml:space="preserve">Import                                                 </t>
  </si>
  <si>
    <t xml:space="preserve">Oil Storage         </t>
  </si>
  <si>
    <t xml:space="preserve">Export                                                 </t>
  </si>
  <si>
    <t xml:space="preserve">Methanol Storage    </t>
  </si>
  <si>
    <t xml:space="preserve">Bottleneck                                             </t>
  </si>
  <si>
    <t xml:space="preserve">Interconnection     </t>
  </si>
  <si>
    <t xml:space="preserve">Fixed imp/exp                                          </t>
  </si>
  <si>
    <t xml:space="preserve">Geothermal Heat     </t>
  </si>
  <si>
    <t xml:space="preserve">Indust. Excess Heat </t>
  </si>
  <si>
    <t xml:space="preserve">CO2 emission costs                           </t>
  </si>
  <si>
    <t xml:space="preserve">Indust. CHP Electr. </t>
  </si>
  <si>
    <t xml:space="preserve">                                                               </t>
  </si>
  <si>
    <t xml:space="preserve">Indust. CHP Heat    </t>
  </si>
  <si>
    <t xml:space="preserve">Variable costs                       </t>
  </si>
  <si>
    <t>Electr Boiler Gr 2+3</t>
  </si>
  <si>
    <t xml:space="preserve">Fixed operation costs                </t>
  </si>
  <si>
    <t xml:space="preserve">Bicycles            </t>
  </si>
  <si>
    <t xml:space="preserve">Motorbikes          </t>
  </si>
  <si>
    <t xml:space="preserve">Annual Investment costs              </t>
  </si>
  <si>
    <t xml:space="preserve">Electric Cars       </t>
  </si>
  <si>
    <t xml:space="preserve">Conventional Cars   </t>
  </si>
  <si>
    <t xml:space="preserve">TOTAL ANNUAL COSTS                   </t>
  </si>
  <si>
    <t xml:space="preserve">DME Buses           </t>
  </si>
  <si>
    <t xml:space="preserve">Diesel Buses        </t>
  </si>
  <si>
    <t xml:space="preserve">DME Trucks          </t>
  </si>
  <si>
    <t xml:space="preserve">Diesel Trucks       </t>
  </si>
  <si>
    <t xml:space="preserve">Charge el2 storage        </t>
  </si>
  <si>
    <t xml:space="preserve">Discharge el2 storage        </t>
  </si>
  <si>
    <t xml:space="preserve">El2 storage cap        </t>
  </si>
  <si>
    <t xml:space="preserve">                 </t>
  </si>
  <si>
    <t xml:space="preserve">Electr. </t>
  </si>
  <si>
    <t>Elec.dem</t>
  </si>
  <si>
    <t xml:space="preserve"> Fixed  </t>
  </si>
  <si>
    <t xml:space="preserve">   DH   </t>
  </si>
  <si>
    <t xml:space="preserve">  Wind  </t>
  </si>
  <si>
    <t>Offshore</t>
  </si>
  <si>
    <t xml:space="preserve">   PV   </t>
  </si>
  <si>
    <t xml:space="preserve">  River </t>
  </si>
  <si>
    <t xml:space="preserve">  Tidal </t>
  </si>
  <si>
    <t xml:space="preserve">  Wave  </t>
  </si>
  <si>
    <t xml:space="preserve">   CSP  </t>
  </si>
  <si>
    <t xml:space="preserve">   CSP2 </t>
  </si>
  <si>
    <t xml:space="preserve"> Hydro  </t>
  </si>
  <si>
    <t xml:space="preserve"> Solar  </t>
  </si>
  <si>
    <t xml:space="preserve"> CSHP 1 </t>
  </si>
  <si>
    <t xml:space="preserve">Waste 1 </t>
  </si>
  <si>
    <t>Boiler 1</t>
  </si>
  <si>
    <t xml:space="preserve"> Solar 1 </t>
  </si>
  <si>
    <t>Sol1 Str</t>
  </si>
  <si>
    <t xml:space="preserve"> CSHP 2 </t>
  </si>
  <si>
    <t xml:space="preserve">Waste 2 </t>
  </si>
  <si>
    <t xml:space="preserve">Geoth 2 </t>
  </si>
  <si>
    <t xml:space="preserve"> CHP 2  </t>
  </si>
  <si>
    <t xml:space="preserve">  HP 2  </t>
  </si>
  <si>
    <t>Boiler 2</t>
  </si>
  <si>
    <t xml:space="preserve">  EH 2  </t>
  </si>
  <si>
    <t xml:space="preserve"> ELT 2  </t>
  </si>
  <si>
    <t xml:space="preserve"> Solar2 </t>
  </si>
  <si>
    <t>Sol2 Str</t>
  </si>
  <si>
    <t>Storage2</t>
  </si>
  <si>
    <t>Balance2</t>
  </si>
  <si>
    <t xml:space="preserve"> CSHP 3 </t>
  </si>
  <si>
    <t xml:space="preserve">Waste 3 </t>
  </si>
  <si>
    <t xml:space="preserve">Geoth 3 </t>
  </si>
  <si>
    <t xml:space="preserve">  CHP 3 </t>
  </si>
  <si>
    <t xml:space="preserve">  HP 3  </t>
  </si>
  <si>
    <t>Boiler 3</t>
  </si>
  <si>
    <t xml:space="preserve">  EH 3  </t>
  </si>
  <si>
    <t xml:space="preserve"> ELT 3  </t>
  </si>
  <si>
    <t xml:space="preserve"> Solar3 </t>
  </si>
  <si>
    <t>Sol3 Str</t>
  </si>
  <si>
    <t>Storage3</t>
  </si>
  <si>
    <t>Balance3</t>
  </si>
  <si>
    <t>Flexible</t>
  </si>
  <si>
    <t xml:space="preserve">   HP   </t>
  </si>
  <si>
    <t xml:space="preserve">  CSHP  </t>
  </si>
  <si>
    <t xml:space="preserve">  CHP   </t>
  </si>
  <si>
    <t xml:space="preserve">   PP   </t>
  </si>
  <si>
    <t xml:space="preserve">  PP2   </t>
  </si>
  <si>
    <t xml:space="preserve">Nuclear </t>
  </si>
  <si>
    <t>Geother.</t>
  </si>
  <si>
    <t>Charge</t>
  </si>
  <si>
    <t>Discharge</t>
  </si>
  <si>
    <t xml:space="preserve"> Store </t>
  </si>
  <si>
    <t>Charge2</t>
  </si>
  <si>
    <t>Discharge2</t>
  </si>
  <si>
    <t xml:space="preserve">Store2 </t>
  </si>
  <si>
    <t xml:space="preserve">Rock in </t>
  </si>
  <si>
    <t>Rock out</t>
  </si>
  <si>
    <t>Rock str</t>
  </si>
  <si>
    <t>ELT 2 H2</t>
  </si>
  <si>
    <t>ELT 3 H2</t>
  </si>
  <si>
    <t xml:space="preserve">  V2G   </t>
  </si>
  <si>
    <t xml:space="preserve">   H2   </t>
  </si>
  <si>
    <t>CO2Hydro</t>
  </si>
  <si>
    <t>NH3Hydro</t>
  </si>
  <si>
    <t xml:space="preserve"> HH-CHP </t>
  </si>
  <si>
    <t xml:space="preserve"> HH-HP  </t>
  </si>
  <si>
    <t>HH-HP/EB</t>
  </si>
  <si>
    <t xml:space="preserve"> HH-EB  </t>
  </si>
  <si>
    <t xml:space="preserve"> HH-H2  </t>
  </si>
  <si>
    <t>HH Dem.</t>
  </si>
  <si>
    <t>HH CHP+HP</t>
  </si>
  <si>
    <t>HH Boil.</t>
  </si>
  <si>
    <t>HH Solar</t>
  </si>
  <si>
    <t>HH Store</t>
  </si>
  <si>
    <t>HH Balan</t>
  </si>
  <si>
    <t xml:space="preserve"> Stabil.</t>
  </si>
  <si>
    <t xml:space="preserve"> Import </t>
  </si>
  <si>
    <t xml:space="preserve"> Export </t>
  </si>
  <si>
    <t xml:space="preserve">  CEEP  </t>
  </si>
  <si>
    <t xml:space="preserve">  EEEP  </t>
  </si>
  <si>
    <t>ExMarket</t>
  </si>
  <si>
    <t xml:space="preserve"> System </t>
  </si>
  <si>
    <t>InMarket</t>
  </si>
  <si>
    <t>Btl-neck</t>
  </si>
  <si>
    <t>Blt-neck</t>
  </si>
  <si>
    <t xml:space="preserve">Add-exp </t>
  </si>
  <si>
    <t xml:space="preserve">Boilers </t>
  </si>
  <si>
    <t xml:space="preserve"> CHP2+3 </t>
  </si>
  <si>
    <t xml:space="preserve"> Indi-  </t>
  </si>
  <si>
    <t xml:space="preserve"> Transp.</t>
  </si>
  <si>
    <t xml:space="preserve"> Indust.</t>
  </si>
  <si>
    <t xml:space="preserve"> Demand </t>
  </si>
  <si>
    <t xml:space="preserve"> Biogas </t>
  </si>
  <si>
    <t xml:space="preserve"> Syngas </t>
  </si>
  <si>
    <t>CO2HyGas</t>
  </si>
  <si>
    <t>SynHyGas</t>
  </si>
  <si>
    <t xml:space="preserve"> SynFuel</t>
  </si>
  <si>
    <t xml:space="preserve">Storage </t>
  </si>
  <si>
    <t xml:space="preserve">  Sum   </t>
  </si>
  <si>
    <t xml:space="preserve"> FreshW </t>
  </si>
  <si>
    <t xml:space="preserve"> SaltW  </t>
  </si>
  <si>
    <t xml:space="preserve"> Brine  </t>
  </si>
  <si>
    <t>Desal.Pl</t>
  </si>
  <si>
    <t xml:space="preserve"> FWPump </t>
  </si>
  <si>
    <t xml:space="preserve">Turbine </t>
  </si>
  <si>
    <t xml:space="preserve">  Pump  </t>
  </si>
  <si>
    <t xml:space="preserve">CoolGr1 </t>
  </si>
  <si>
    <t xml:space="preserve">CoolGr2 </t>
  </si>
  <si>
    <t xml:space="preserve">CoolGr3 </t>
  </si>
  <si>
    <t xml:space="preserve">Cool-El </t>
  </si>
  <si>
    <t xml:space="preserve">Cooling </t>
  </si>
  <si>
    <t xml:space="preserve">Ammonia </t>
  </si>
  <si>
    <t xml:space="preserve">  H2    </t>
  </si>
  <si>
    <t xml:space="preserve"> Demand</t>
  </si>
  <si>
    <t xml:space="preserve"> Cooling</t>
  </si>
  <si>
    <t xml:space="preserve"> Exp/Imp</t>
  </si>
  <si>
    <t xml:space="preserve"> Electr.</t>
  </si>
  <si>
    <t xml:space="preserve"> Storage</t>
  </si>
  <si>
    <t xml:space="preserve"> loss   </t>
  </si>
  <si>
    <t xml:space="preserve"> pump   </t>
  </si>
  <si>
    <t xml:space="preserve"> storage</t>
  </si>
  <si>
    <t xml:space="preserve"> Wat-Sup</t>
  </si>
  <si>
    <t>Wat-Loss</t>
  </si>
  <si>
    <t xml:space="preserve">  Heat  </t>
  </si>
  <si>
    <t xml:space="preserve">   Heat  </t>
  </si>
  <si>
    <t xml:space="preserve"> Steam  </t>
  </si>
  <si>
    <t xml:space="preserve">   Heat </t>
  </si>
  <si>
    <t xml:space="preserve">  ELT 2 </t>
  </si>
  <si>
    <t xml:space="preserve">  ELT 3 </t>
  </si>
  <si>
    <t xml:space="preserve"> Charge </t>
  </si>
  <si>
    <t xml:space="preserve"> Discha.</t>
  </si>
  <si>
    <t>liq.fuel</t>
  </si>
  <si>
    <t xml:space="preserve"> Ammonia</t>
  </si>
  <si>
    <t xml:space="preserve"> Prices </t>
  </si>
  <si>
    <t xml:space="preserve"> Load   </t>
  </si>
  <si>
    <t xml:space="preserve">  Prod  </t>
  </si>
  <si>
    <t xml:space="preserve">Payment </t>
  </si>
  <si>
    <t xml:space="preserve"> CAES   </t>
  </si>
  <si>
    <t xml:space="preserve"> vidual </t>
  </si>
  <si>
    <t xml:space="preserve"> Various</t>
  </si>
  <si>
    <t xml:space="preserve"> Sum    </t>
  </si>
  <si>
    <t xml:space="preserve"> Content</t>
  </si>
  <si>
    <t xml:space="preserve"> Gas    </t>
  </si>
  <si>
    <t xml:space="preserve"> Prod.  </t>
  </si>
  <si>
    <t xml:space="preserve">Natural </t>
  </si>
  <si>
    <t xml:space="preserve"> DHgr1  </t>
  </si>
  <si>
    <t xml:space="preserve"> DHgr2  </t>
  </si>
  <si>
    <t xml:space="preserve"> DHgr3  </t>
  </si>
  <si>
    <t xml:space="preserve"> demand </t>
  </si>
  <si>
    <t xml:space="preserve"> prod.  </t>
  </si>
  <si>
    <t xml:space="preserve"> import </t>
  </si>
  <si>
    <t xml:space="preserve"> export </t>
  </si>
  <si>
    <t xml:space="preserve"> balance</t>
  </si>
  <si>
    <t>TOTAL FOR ONE YEAR (TWh/year):</t>
  </si>
  <si>
    <t xml:space="preserve">Annual:        </t>
  </si>
  <si>
    <t xml:space="preserve">   45,75</t>
  </si>
  <si>
    <t xml:space="preserve">    1,63</t>
  </si>
  <si>
    <t xml:space="preserve">   35,63</t>
  </si>
  <si>
    <t xml:space="preserve">   18,50</t>
  </si>
  <si>
    <t xml:space="preserve">   27,12</t>
  </si>
  <si>
    <t xml:space="preserve">   35,85</t>
  </si>
  <si>
    <t xml:space="preserve">    0,46</t>
  </si>
  <si>
    <t xml:space="preserve">    2,07</t>
  </si>
  <si>
    <t xml:space="preserve">    4,25</t>
  </si>
  <si>
    <t xml:space="preserve">    0,39</t>
  </si>
  <si>
    <t xml:space="preserve">    2,33</t>
  </si>
  <si>
    <t xml:space="preserve">    2,95</t>
  </si>
  <si>
    <t xml:space="preserve">    0,04</t>
  </si>
  <si>
    <t xml:space="preserve">    1,62</t>
  </si>
  <si>
    <t xml:space="preserve">   -0,13</t>
  </si>
  <si>
    <t xml:space="preserve">   20,01</t>
  </si>
  <si>
    <t xml:space="preserve">    3,23</t>
  </si>
  <si>
    <t xml:space="preserve">    0,62</t>
  </si>
  <si>
    <t xml:space="preserve">    1,83</t>
  </si>
  <si>
    <t xml:space="preserve">    0,03</t>
  </si>
  <si>
    <t xml:space="preserve">    0,45</t>
  </si>
  <si>
    <t xml:space="preserve">    0,01</t>
  </si>
  <si>
    <t xml:space="preserve">   -2,55</t>
  </si>
  <si>
    <t xml:space="preserve">    9,85</t>
  </si>
  <si>
    <t xml:space="preserve">    4,56</t>
  </si>
  <si>
    <t xml:space="preserve">    2,30</t>
  </si>
  <si>
    <t xml:space="preserve">    3,38</t>
  </si>
  <si>
    <t xml:space="preserve">    2,89</t>
  </si>
  <si>
    <t xml:space="preserve">    0,50</t>
  </si>
  <si>
    <t xml:space="preserve">    5,94</t>
  </si>
  <si>
    <t xml:space="preserve">    1,46</t>
  </si>
  <si>
    <t xml:space="preserve">    7,16</t>
  </si>
  <si>
    <t xml:space="preserve">    9,25</t>
  </si>
  <si>
    <t xml:space="preserve">    1,05</t>
  </si>
  <si>
    <t xml:space="preserve">   26,68</t>
  </si>
  <si>
    <t xml:space="preserve">    0,12</t>
  </si>
  <si>
    <t xml:space="preserve">    0,07</t>
  </si>
  <si>
    <t xml:space="preserve">    5,18</t>
  </si>
  <si>
    <t xml:space="preserve">    3,64</t>
  </si>
  <si>
    <t xml:space="preserve">    3,34</t>
  </si>
  <si>
    <t xml:space="preserve">   15,08</t>
  </si>
  <si>
    <t xml:space="preserve">   13,01</t>
  </si>
  <si>
    <t xml:space="preserve"> Percent</t>
  </si>
  <si>
    <t xml:space="preserve">    0,90</t>
  </si>
  <si>
    <t xml:space="preserve">    0,57</t>
  </si>
  <si>
    <t xml:space="preserve">    6,66</t>
  </si>
  <si>
    <t xml:space="preserve">   16,90</t>
  </si>
  <si>
    <t xml:space="preserve">   16,47</t>
  </si>
  <si>
    <t>21127,53</t>
  </si>
  <si>
    <t xml:space="preserve">    3,07</t>
  </si>
  <si>
    <t xml:space="preserve">    2,63</t>
  </si>
  <si>
    <t xml:space="preserve">    2,44</t>
  </si>
  <si>
    <t xml:space="preserve">   20,49</t>
  </si>
  <si>
    <t>MONTHLY AVERAGE VALUES (MW):</t>
  </si>
  <si>
    <t xml:space="preserve">January       </t>
  </si>
  <si>
    <t xml:space="preserve">February      </t>
  </si>
  <si>
    <t xml:space="preserve">March         </t>
  </si>
  <si>
    <t xml:space="preserve">April         </t>
  </si>
  <si>
    <t xml:space="preserve">May           </t>
  </si>
  <si>
    <t xml:space="preserve">June          </t>
  </si>
  <si>
    <t xml:space="preserve">July          </t>
  </si>
  <si>
    <t xml:space="preserve">August        </t>
  </si>
  <si>
    <t xml:space="preserve">September     </t>
  </si>
  <si>
    <t xml:space="preserve">October       </t>
  </si>
  <si>
    <t xml:space="preserve">November      </t>
  </si>
  <si>
    <t xml:space="preserve">December      </t>
  </si>
  <si>
    <t>Annual Average</t>
  </si>
  <si>
    <t xml:space="preserve">      - </t>
  </si>
  <si>
    <t>Annual Maximum</t>
  </si>
  <si>
    <t>Annual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</si>
</sst>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0" fillId="4" borderId="0" xfId="0" applyFill="1"/>
    <xf numFmtId="0" fontId="2" fillId="4" borderId="0" xfId="0" applyFont="1" applyFill="1"/>
    <xf numFmtId="0" fontId="3" fillId="4" borderId="3" xfId="0" applyFont="1" applyFill="1" applyBorder="1"/>
    <xf numFmtId="0" fontId="0" fillId="4" borderId="3" xfId="0" applyFill="1" applyBorder="1"/>
    <xf numFmtId="0" fontId="1" fillId="4" borderId="3" xfId="0" applyFont="1" applyFill="1" applyBorder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85630</xdr:colOff>
      <xdr:row>19</xdr:row>
      <xdr:rowOff>73396</xdr:rowOff>
    </xdr:from>
    <xdr:to>
      <xdr:col>7</xdr:col>
      <xdr:colOff>548767</xdr:colOff>
      <xdr:row>27</xdr:row>
      <xdr:rowOff>104491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C0CC1-FCAE-522A-76E9-A4D8CE34A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059" y="3321198"/>
          <a:ext cx="3643660" cy="1547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B3C9-BE38-4295-A173-9A40C6C26074}">
  <dimension ref="A1:Q51"/>
  <sheetViews>
    <sheetView topLeftCell="A11" zoomScale="150" zoomScaleNormal="115" workbookViewId="0">
      <selection activeCell="B21" sqref="B21"/>
    </sheetView>
  </sheetViews>
  <sheetFormatPr defaultColWidth="0" defaultRowHeight="15.05" zeroHeight="1" x14ac:dyDescent="0.3"/>
  <cols>
    <col min="1" max="1" width="8.88671875" style="7" customWidth="1"/>
    <col min="2" max="2" width="17.88671875" style="7" customWidth="1"/>
    <col min="3" max="14" width="8.88671875" style="7" customWidth="1"/>
    <col min="15" max="15" width="10.33203125" style="7" customWidth="1"/>
    <col min="16" max="17" width="8.88671875" style="7" customWidth="1"/>
    <col min="18" max="16384" width="8.88671875" style="7" hidden="1"/>
  </cols>
  <sheetData>
    <row r="1" spans="2:15" x14ac:dyDescent="0.3"/>
    <row r="2" spans="2:15" x14ac:dyDescent="0.3">
      <c r="B2" s="8" t="s">
        <v>0</v>
      </c>
    </row>
    <row r="3" spans="2:15" x14ac:dyDescent="0.3">
      <c r="B3" s="8"/>
    </row>
    <row r="4" spans="2:15" x14ac:dyDescent="0.3"/>
    <row r="5" spans="2:15" ht="15.65" thickBot="1" x14ac:dyDescent="0.35"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x14ac:dyDescent="0.3"/>
    <row r="7" spans="2:15" ht="15.65" thickBot="1" x14ac:dyDescent="0.35">
      <c r="B7" s="11" t="s">
        <v>2</v>
      </c>
      <c r="C7" s="11" t="s">
        <v>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5" x14ac:dyDescent="0.3">
      <c r="B8" s="7" t="s">
        <v>4</v>
      </c>
      <c r="C8" s="7" t="s">
        <v>5</v>
      </c>
    </row>
    <row r="9" spans="2:15" x14ac:dyDescent="0.3">
      <c r="B9" s="7" t="s">
        <v>6</v>
      </c>
      <c r="C9" s="7" t="s">
        <v>7</v>
      </c>
    </row>
    <row r="10" spans="2:15" x14ac:dyDescent="0.3">
      <c r="B10" s="7" t="s">
        <v>8</v>
      </c>
      <c r="C10" s="7" t="s">
        <v>9</v>
      </c>
    </row>
    <row r="11" spans="2:15" x14ac:dyDescent="0.3">
      <c r="B11" s="7" t="s">
        <v>10</v>
      </c>
      <c r="C11" s="7" t="s">
        <v>11</v>
      </c>
    </row>
    <row r="12" spans="2:15" x14ac:dyDescent="0.3">
      <c r="B12" s="7" t="s">
        <v>12</v>
      </c>
      <c r="C12" s="7" t="s">
        <v>13</v>
      </c>
    </row>
    <row r="13" spans="2:15" x14ac:dyDescent="0.3">
      <c r="B13" s="7" t="s">
        <v>14</v>
      </c>
      <c r="C13" s="7" t="s">
        <v>15</v>
      </c>
    </row>
    <row r="14" spans="2:15" x14ac:dyDescent="0.3">
      <c r="B14" s="7" t="s">
        <v>16</v>
      </c>
      <c r="C14" s="7" t="s">
        <v>17</v>
      </c>
    </row>
    <row r="15" spans="2:15" x14ac:dyDescent="0.3">
      <c r="B15" s="7" t="s">
        <v>18</v>
      </c>
      <c r="C15" s="7" t="s">
        <v>17</v>
      </c>
    </row>
    <row r="16" spans="2:15" x14ac:dyDescent="0.3"/>
    <row r="17" spans="2:15" x14ac:dyDescent="0.3">
      <c r="B17" s="8" t="s">
        <v>19</v>
      </c>
    </row>
    <row r="18" spans="2:15" x14ac:dyDescent="0.3">
      <c r="B18" s="8" t="s">
        <v>20</v>
      </c>
    </row>
    <row r="19" spans="2:15" x14ac:dyDescent="0.3">
      <c r="B19" s="8" t="s">
        <v>21</v>
      </c>
    </row>
    <row r="20" spans="2:15" x14ac:dyDescent="0.3"/>
    <row r="21" spans="2:15" x14ac:dyDescent="0.3"/>
    <row r="22" spans="2:15" x14ac:dyDescent="0.3"/>
    <row r="23" spans="2:15" x14ac:dyDescent="0.3"/>
    <row r="24" spans="2:15" x14ac:dyDescent="0.3"/>
    <row r="25" spans="2:15" x14ac:dyDescent="0.3"/>
    <row r="26" spans="2:15" x14ac:dyDescent="0.3"/>
    <row r="27" spans="2:15" x14ac:dyDescent="0.3"/>
    <row r="28" spans="2:15" x14ac:dyDescent="0.3"/>
    <row r="29" spans="2:15" x14ac:dyDescent="0.3"/>
    <row r="30" spans="2:15" x14ac:dyDescent="0.3"/>
    <row r="31" spans="2:15" ht="15.65" thickBot="1" x14ac:dyDescent="0.35">
      <c r="B31" s="11" t="s">
        <v>22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2:15" x14ac:dyDescent="0.3">
      <c r="B32" s="7" t="s">
        <v>23</v>
      </c>
      <c r="C32" s="7" t="s">
        <v>24</v>
      </c>
    </row>
    <row r="33" spans="2:15" x14ac:dyDescent="0.3">
      <c r="B33" s="7" t="s">
        <v>25</v>
      </c>
      <c r="C33" s="7" t="s">
        <v>26</v>
      </c>
    </row>
    <row r="34" spans="2:15" x14ac:dyDescent="0.3">
      <c r="B34" s="7" t="s">
        <v>27</v>
      </c>
      <c r="C34" s="7" t="s">
        <v>28</v>
      </c>
    </row>
    <row r="35" spans="2:15" x14ac:dyDescent="0.3">
      <c r="B35" s="7" t="s">
        <v>29</v>
      </c>
      <c r="C35" s="7" t="s">
        <v>30</v>
      </c>
    </row>
    <row r="36" spans="2:15" x14ac:dyDescent="0.3">
      <c r="B36" s="7" t="s">
        <v>31</v>
      </c>
      <c r="C36" s="7" t="s">
        <v>32</v>
      </c>
    </row>
    <row r="37" spans="2:15" x14ac:dyDescent="0.3">
      <c r="B37" s="7" t="s">
        <v>33</v>
      </c>
      <c r="C37" s="7" t="s">
        <v>34</v>
      </c>
    </row>
    <row r="38" spans="2:15" x14ac:dyDescent="0.3"/>
    <row r="39" spans="2:15" x14ac:dyDescent="0.3"/>
    <row r="40" spans="2:15" ht="15.65" thickBot="1" x14ac:dyDescent="0.35">
      <c r="B40" s="11" t="s">
        <v>35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2:15" x14ac:dyDescent="0.3">
      <c r="B41" s="7" t="s">
        <v>36</v>
      </c>
    </row>
    <row r="42" spans="2:15" x14ac:dyDescent="0.3">
      <c r="B42" s="7" t="s">
        <v>37</v>
      </c>
    </row>
    <row r="43" spans="2:15" x14ac:dyDescent="0.3">
      <c r="B43" s="7" t="s">
        <v>38</v>
      </c>
    </row>
    <row r="44" spans="2:15" x14ac:dyDescent="0.3">
      <c r="B44" s="8" t="s">
        <v>39</v>
      </c>
    </row>
    <row r="45" spans="2:15" x14ac:dyDescent="0.3"/>
    <row r="46" spans="2:15" x14ac:dyDescent="0.3"/>
    <row r="47" spans="2:15" x14ac:dyDescent="0.3"/>
    <row r="48" spans="2:15" x14ac:dyDescent="0.3"/>
    <row r="49" x14ac:dyDescent="0.3"/>
    <row r="50" x14ac:dyDescent="0.3"/>
    <row r="5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="115" zoomScaleNormal="115" workbookViewId="0">
      <selection activeCell="F38" sqref="F38"/>
    </sheetView>
  </sheetViews>
  <sheetFormatPr defaultRowHeight="15.05" x14ac:dyDescent="0.3"/>
  <cols>
    <col min="1" max="1" width="22.6640625" bestFit="1" customWidth="1"/>
    <col min="2" max="2" width="25.5546875" bestFit="1" customWidth="1"/>
    <col min="3" max="3" width="34.88671875" bestFit="1" customWidth="1"/>
    <col min="4" max="4" width="18.5546875" bestFit="1" customWidth="1"/>
    <col min="5" max="5" width="19.109375" bestFit="1" customWidth="1"/>
    <col min="6" max="6" width="14.44140625" customWidth="1"/>
    <col min="7" max="7" width="14.6640625" bestFit="1" customWidth="1"/>
    <col min="8" max="8" width="13.44140625" customWidth="1"/>
    <col min="9" max="10" width="23.5546875" bestFit="1" customWidth="1"/>
  </cols>
  <sheetData>
    <row r="1" spans="1:10" x14ac:dyDescent="0.3">
      <c r="A1" s="1" t="s">
        <v>40</v>
      </c>
      <c r="B1" s="1" t="s">
        <v>41</v>
      </c>
      <c r="C1" s="1" t="s">
        <v>4</v>
      </c>
      <c r="D1" s="4" t="s">
        <v>6</v>
      </c>
      <c r="E1" s="4" t="s">
        <v>8</v>
      </c>
      <c r="F1" s="4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 spans="1:10" x14ac:dyDescent="0.3">
      <c r="A2" t="s">
        <v>42</v>
      </c>
      <c r="B2" t="s">
        <v>43</v>
      </c>
      <c r="C2" t="s">
        <v>44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3" t="s">
        <v>46</v>
      </c>
      <c r="J2" s="3" t="s">
        <v>46</v>
      </c>
    </row>
    <row r="3" spans="1:10" x14ac:dyDescent="0.3">
      <c r="A3" t="s">
        <v>42</v>
      </c>
      <c r="B3" t="s">
        <v>47</v>
      </c>
      <c r="C3" t="s">
        <v>48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</row>
    <row r="4" spans="1:10" x14ac:dyDescent="0.3">
      <c r="A4" t="s">
        <v>42</v>
      </c>
      <c r="B4" t="s">
        <v>49</v>
      </c>
      <c r="C4" t="s">
        <v>50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</row>
    <row r="5" spans="1:10" x14ac:dyDescent="0.3">
      <c r="A5" t="s">
        <v>51</v>
      </c>
      <c r="B5" t="s">
        <v>52</v>
      </c>
      <c r="C5" t="s">
        <v>53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</row>
    <row r="6" spans="1:10" x14ac:dyDescent="0.3">
      <c r="A6" t="s">
        <v>51</v>
      </c>
      <c r="B6" t="s">
        <v>54</v>
      </c>
      <c r="C6" t="s">
        <v>55</v>
      </c>
      <c r="D6" s="2" t="s">
        <v>45</v>
      </c>
      <c r="E6" s="2" t="s">
        <v>45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</row>
    <row r="7" spans="1:10" x14ac:dyDescent="0.3">
      <c r="A7" t="s">
        <v>51</v>
      </c>
      <c r="B7" t="s">
        <v>56</v>
      </c>
      <c r="C7" t="s">
        <v>57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</row>
    <row r="8" spans="1:10" x14ac:dyDescent="0.3">
      <c r="A8" t="s">
        <v>58</v>
      </c>
      <c r="B8" t="s">
        <v>59</v>
      </c>
      <c r="C8" t="s">
        <v>60</v>
      </c>
      <c r="D8" s="2" t="s">
        <v>45</v>
      </c>
      <c r="E8" s="2" t="s">
        <v>45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</row>
    <row r="9" spans="1:10" x14ac:dyDescent="0.3">
      <c r="A9" t="s">
        <v>58</v>
      </c>
      <c r="B9" t="s">
        <v>61</v>
      </c>
      <c r="C9" t="s">
        <v>60</v>
      </c>
      <c r="D9" s="2" t="s">
        <v>45</v>
      </c>
      <c r="E9" s="2" t="s">
        <v>45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</row>
    <row r="10" spans="1:10" x14ac:dyDescent="0.3">
      <c r="A10" t="s">
        <v>58</v>
      </c>
      <c r="B10" t="s">
        <v>62</v>
      </c>
      <c r="C10" t="s">
        <v>48</v>
      </c>
      <c r="D10" s="2" t="s">
        <v>45</v>
      </c>
      <c r="E10" s="2" t="s">
        <v>45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</row>
    <row r="11" spans="1:10" x14ac:dyDescent="0.3">
      <c r="A11" t="s">
        <v>63</v>
      </c>
      <c r="B11" t="s">
        <v>64</v>
      </c>
      <c r="C11" t="s">
        <v>48</v>
      </c>
      <c r="D11" s="2" t="s">
        <v>45</v>
      </c>
      <c r="E11" s="2" t="s">
        <v>45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</row>
    <row r="12" spans="1:10" x14ac:dyDescent="0.3">
      <c r="A12" t="s">
        <v>63</v>
      </c>
      <c r="B12" t="s">
        <v>65</v>
      </c>
      <c r="C12" t="s">
        <v>48</v>
      </c>
      <c r="D12" s="2" t="s">
        <v>45</v>
      </c>
      <c r="E12" s="2" t="s">
        <v>45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</row>
    <row r="13" spans="1:10" x14ac:dyDescent="0.3">
      <c r="A13" t="s">
        <v>66</v>
      </c>
      <c r="B13" t="s">
        <v>67</v>
      </c>
      <c r="C13" t="s">
        <v>68</v>
      </c>
      <c r="D13" s="2" t="s">
        <v>45</v>
      </c>
      <c r="E13" s="2" t="s">
        <v>45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</row>
    <row r="14" spans="1:10" x14ac:dyDescent="0.3">
      <c r="A14" t="s">
        <v>66</v>
      </c>
      <c r="B14" t="s">
        <v>69</v>
      </c>
      <c r="C14" t="s">
        <v>48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</row>
    <row r="15" spans="1:10" x14ac:dyDescent="0.3">
      <c r="A15" t="s">
        <v>66</v>
      </c>
      <c r="B15" t="s">
        <v>70</v>
      </c>
      <c r="C15" t="s">
        <v>71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</row>
    <row r="16" spans="1:10" x14ac:dyDescent="0.3">
      <c r="A16" t="s">
        <v>72</v>
      </c>
      <c r="B16" t="s">
        <v>73</v>
      </c>
      <c r="C16" t="s">
        <v>48</v>
      </c>
      <c r="D16" s="2" t="s">
        <v>45</v>
      </c>
      <c r="E16" s="2" t="s">
        <v>45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</row>
    <row r="17" spans="1:10" x14ac:dyDescent="0.3">
      <c r="A17" t="s">
        <v>74</v>
      </c>
      <c r="B17" t="s">
        <v>75</v>
      </c>
      <c r="C17" t="s">
        <v>76</v>
      </c>
      <c r="D17" s="3" t="s">
        <v>77</v>
      </c>
      <c r="E17" s="2" t="s">
        <v>45</v>
      </c>
      <c r="F17" s="2" t="s">
        <v>45</v>
      </c>
      <c r="G17" s="2" t="s">
        <v>45</v>
      </c>
      <c r="H17" s="2" t="s">
        <v>45</v>
      </c>
      <c r="I17" s="3" t="s">
        <v>77</v>
      </c>
      <c r="J17" s="3" t="s">
        <v>77</v>
      </c>
    </row>
    <row r="18" spans="1:10" x14ac:dyDescent="0.3">
      <c r="A18" t="s">
        <v>78</v>
      </c>
      <c r="B18" t="s">
        <v>79</v>
      </c>
      <c r="C18" t="s">
        <v>48</v>
      </c>
      <c r="D18" s="3" t="s">
        <v>80</v>
      </c>
      <c r="E18" s="2" t="s">
        <v>45</v>
      </c>
      <c r="F18" s="3" t="s">
        <v>81</v>
      </c>
      <c r="G18" s="2" t="s">
        <v>45</v>
      </c>
      <c r="H18" s="2" t="s">
        <v>45</v>
      </c>
      <c r="I18" s="2" t="s">
        <v>45</v>
      </c>
      <c r="J18" s="2" t="s">
        <v>45</v>
      </c>
    </row>
    <row r="19" spans="1:10" x14ac:dyDescent="0.3">
      <c r="A19" t="s">
        <v>78</v>
      </c>
      <c r="B19" t="s">
        <v>82</v>
      </c>
      <c r="C19" t="s">
        <v>81</v>
      </c>
      <c r="D19" s="2" t="s">
        <v>45</v>
      </c>
      <c r="E19" s="2" t="s">
        <v>45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</row>
    <row r="20" spans="1:10" x14ac:dyDescent="0.3">
      <c r="A20" t="s">
        <v>78</v>
      </c>
      <c r="B20" t="s">
        <v>83</v>
      </c>
      <c r="C20" t="s">
        <v>81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</row>
    <row r="21" spans="1:10" x14ac:dyDescent="0.3">
      <c r="A21" t="s">
        <v>78</v>
      </c>
      <c r="B21" t="s">
        <v>84</v>
      </c>
      <c r="C21" t="s">
        <v>85</v>
      </c>
      <c r="D21" s="2" t="s">
        <v>45</v>
      </c>
      <c r="E21" s="2" t="s">
        <v>45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</row>
    <row r="22" spans="1:10" x14ac:dyDescent="0.3">
      <c r="A22" t="s">
        <v>86</v>
      </c>
      <c r="B22" t="s">
        <v>87</v>
      </c>
      <c r="C22" t="s">
        <v>88</v>
      </c>
      <c r="D22" s="2" t="s">
        <v>45</v>
      </c>
      <c r="E22" s="2" t="s">
        <v>45</v>
      </c>
      <c r="F22" s="2" t="s">
        <v>45</v>
      </c>
      <c r="G22" s="2" t="s">
        <v>45</v>
      </c>
      <c r="H22" s="2" t="s">
        <v>45</v>
      </c>
      <c r="I22" s="3" t="s">
        <v>89</v>
      </c>
      <c r="J22" s="3" t="s">
        <v>89</v>
      </c>
    </row>
    <row r="23" spans="1:10" x14ac:dyDescent="0.3">
      <c r="A23" t="s">
        <v>86</v>
      </c>
      <c r="B23" t="s">
        <v>90</v>
      </c>
      <c r="C23" t="s">
        <v>91</v>
      </c>
      <c r="D23" s="2" t="s">
        <v>45</v>
      </c>
      <c r="E23" s="2" t="s">
        <v>45</v>
      </c>
      <c r="F23" s="2" t="s">
        <v>45</v>
      </c>
      <c r="G23" s="2" t="s">
        <v>45</v>
      </c>
      <c r="H23" s="2" t="s">
        <v>45</v>
      </c>
      <c r="I23" s="3" t="s">
        <v>89</v>
      </c>
      <c r="J23" s="3" t="s">
        <v>89</v>
      </c>
    </row>
    <row r="24" spans="1:10" x14ac:dyDescent="0.3">
      <c r="A24" t="s">
        <v>86</v>
      </c>
      <c r="B24" t="s">
        <v>92</v>
      </c>
      <c r="C24" t="s">
        <v>93</v>
      </c>
      <c r="D24" s="2" t="s">
        <v>45</v>
      </c>
      <c r="E24" s="2" t="s">
        <v>45</v>
      </c>
      <c r="F24" s="2" t="s">
        <v>45</v>
      </c>
      <c r="G24" s="2" t="s">
        <v>45</v>
      </c>
      <c r="H24" s="2" t="s">
        <v>45</v>
      </c>
      <c r="I24" s="3" t="s">
        <v>89</v>
      </c>
      <c r="J24" s="3" t="s">
        <v>89</v>
      </c>
    </row>
    <row r="25" spans="1:10" x14ac:dyDescent="0.3">
      <c r="A25" t="s">
        <v>86</v>
      </c>
      <c r="B25" t="s">
        <v>94</v>
      </c>
      <c r="C25" t="s">
        <v>95</v>
      </c>
      <c r="D25" s="2" t="s">
        <v>45</v>
      </c>
      <c r="E25" s="2" t="s">
        <v>45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</row>
    <row r="26" spans="1:10" x14ac:dyDescent="0.3">
      <c r="A26" t="s">
        <v>86</v>
      </c>
      <c r="B26" t="s">
        <v>96</v>
      </c>
      <c r="C26" t="s">
        <v>97</v>
      </c>
      <c r="D26" s="2" t="s">
        <v>45</v>
      </c>
      <c r="E26" s="2" t="s">
        <v>45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</row>
    <row r="27" spans="1:10" x14ac:dyDescent="0.3">
      <c r="A27" t="s">
        <v>86</v>
      </c>
      <c r="B27" t="s">
        <v>98</v>
      </c>
      <c r="C27" t="s">
        <v>99</v>
      </c>
      <c r="D27" s="2" t="s">
        <v>45</v>
      </c>
      <c r="E27" s="2" t="s">
        <v>45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</row>
    <row r="28" spans="1:10" x14ac:dyDescent="0.3">
      <c r="A28" t="s">
        <v>86</v>
      </c>
      <c r="B28" t="s">
        <v>100</v>
      </c>
      <c r="C28" t="s">
        <v>95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</row>
    <row r="29" spans="1:10" x14ac:dyDescent="0.3">
      <c r="A29" t="s">
        <v>86</v>
      </c>
      <c r="B29" t="s">
        <v>101</v>
      </c>
      <c r="C29" t="s">
        <v>102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</row>
    <row r="30" spans="1:10" x14ac:dyDescent="0.3">
      <c r="A30" t="s">
        <v>103</v>
      </c>
      <c r="B30" t="s">
        <v>104</v>
      </c>
      <c r="C30" t="s">
        <v>105</v>
      </c>
      <c r="D30" s="2" t="s">
        <v>45</v>
      </c>
      <c r="E30" s="2" t="s">
        <v>45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</row>
    <row r="31" spans="1:10" x14ac:dyDescent="0.3">
      <c r="A31" t="s">
        <v>106</v>
      </c>
      <c r="B31" t="s">
        <v>107</v>
      </c>
      <c r="C31" t="s">
        <v>48</v>
      </c>
      <c r="D31" s="2" t="s">
        <v>45</v>
      </c>
      <c r="E31" s="2" t="s">
        <v>45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</row>
    <row r="32" spans="1:10" x14ac:dyDescent="0.3">
      <c r="A32" t="s">
        <v>108</v>
      </c>
      <c r="B32" t="s">
        <v>109</v>
      </c>
      <c r="C32" t="s">
        <v>48</v>
      </c>
      <c r="D32" s="2" t="s">
        <v>45</v>
      </c>
      <c r="E32" s="2" t="s">
        <v>45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</row>
    <row r="33" spans="1:10" x14ac:dyDescent="0.3">
      <c r="A33" t="s">
        <v>108</v>
      </c>
      <c r="B33" t="s">
        <v>110</v>
      </c>
      <c r="C33" t="s">
        <v>48</v>
      </c>
      <c r="D33" s="2" t="s">
        <v>45</v>
      </c>
      <c r="E33" s="2" t="s">
        <v>45</v>
      </c>
      <c r="F33" s="2" t="s">
        <v>45</v>
      </c>
      <c r="G33" s="2" t="s">
        <v>45</v>
      </c>
      <c r="H33" s="2" t="s">
        <v>45</v>
      </c>
      <c r="I33" s="2" t="s">
        <v>45</v>
      </c>
      <c r="J33" s="2" t="s">
        <v>45</v>
      </c>
    </row>
    <row r="34" spans="1:10" x14ac:dyDescent="0.3">
      <c r="A34" t="s">
        <v>108</v>
      </c>
      <c r="B34" t="s">
        <v>111</v>
      </c>
      <c r="C34" t="s">
        <v>48</v>
      </c>
      <c r="D34" s="2" t="s">
        <v>45</v>
      </c>
      <c r="E34" s="2" t="s">
        <v>45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</row>
    <row r="35" spans="1:10" x14ac:dyDescent="0.3">
      <c r="A35" t="s">
        <v>112</v>
      </c>
      <c r="B35" t="s">
        <v>113</v>
      </c>
      <c r="C35" t="s">
        <v>114</v>
      </c>
      <c r="D35" s="2" t="s">
        <v>45</v>
      </c>
      <c r="E35" s="2" t="s">
        <v>45</v>
      </c>
      <c r="F35" s="2" t="s">
        <v>45</v>
      </c>
      <c r="G35" s="2" t="s">
        <v>45</v>
      </c>
      <c r="H35" s="2" t="s">
        <v>45</v>
      </c>
      <c r="I35" s="3" t="s">
        <v>46</v>
      </c>
      <c r="J35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149"/>
  <sheetViews>
    <sheetView tabSelected="1" topLeftCell="C13" zoomScale="145" zoomScaleNormal="145" workbookViewId="0">
      <selection activeCell="G107" sqref="G107"/>
    </sheetView>
  </sheetViews>
  <sheetFormatPr defaultRowHeight="15.05" x14ac:dyDescent="0.3"/>
  <cols>
    <col min="1" max="1" width="14.88671875" bestFit="1" customWidth="1"/>
    <col min="2" max="2" width="26.33203125" bestFit="1" customWidth="1"/>
    <col min="3" max="3" width="41.33203125" bestFit="1" customWidth="1"/>
    <col min="4" max="4" width="16.33203125" customWidth="1"/>
    <col min="5" max="5" width="11.6640625" bestFit="1" customWidth="1"/>
    <col min="6" max="6" width="14.6640625" customWidth="1"/>
    <col min="7" max="7" width="14.6640625" bestFit="1" customWidth="1"/>
    <col min="8" max="8" width="12.33203125" bestFit="1" customWidth="1"/>
    <col min="9" max="10" width="19" bestFit="1" customWidth="1"/>
  </cols>
  <sheetData>
    <row r="1" spans="1:11" x14ac:dyDescent="0.3">
      <c r="A1" s="1" t="s">
        <v>40</v>
      </c>
      <c r="B1" s="1" t="s">
        <v>115</v>
      </c>
      <c r="C1" s="1" t="s">
        <v>4</v>
      </c>
      <c r="D1" s="4" t="s">
        <v>6</v>
      </c>
      <c r="E1" s="4" t="s">
        <v>8</v>
      </c>
      <c r="F1" s="4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 spans="1:11" x14ac:dyDescent="0.3">
      <c r="A2" t="s">
        <v>42</v>
      </c>
      <c r="B2" t="s">
        <v>43</v>
      </c>
      <c r="C2" t="s">
        <v>116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3">
        <v>31.1</v>
      </c>
      <c r="J2" s="3">
        <v>31.1</v>
      </c>
      <c r="K2" t="s">
        <v>117</v>
      </c>
    </row>
    <row r="3" spans="1:11" x14ac:dyDescent="0.3">
      <c r="A3" t="s">
        <v>42</v>
      </c>
      <c r="B3" t="s">
        <v>47</v>
      </c>
      <c r="C3" t="s">
        <v>118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3">
        <v>15.6</v>
      </c>
      <c r="J3" s="3">
        <v>15.6</v>
      </c>
      <c r="K3" t="s">
        <v>119</v>
      </c>
    </row>
    <row r="4" spans="1:11" x14ac:dyDescent="0.3">
      <c r="A4" t="s">
        <v>42</v>
      </c>
      <c r="B4" t="s">
        <v>120</v>
      </c>
      <c r="C4" t="s">
        <v>121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</row>
    <row r="5" spans="1:11" x14ac:dyDescent="0.3">
      <c r="A5" t="s">
        <v>42</v>
      </c>
      <c r="B5" t="s">
        <v>122</v>
      </c>
      <c r="C5" t="s">
        <v>123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</row>
    <row r="6" spans="1:11" x14ac:dyDescent="0.3">
      <c r="A6" t="s">
        <v>42</v>
      </c>
      <c r="B6" t="s">
        <v>124</v>
      </c>
      <c r="C6" t="s">
        <v>125</v>
      </c>
      <c r="D6" s="2" t="s">
        <v>45</v>
      </c>
      <c r="E6" s="2" t="s">
        <v>45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</row>
    <row r="7" spans="1:11" x14ac:dyDescent="0.3">
      <c r="A7" t="s">
        <v>51</v>
      </c>
      <c r="B7" t="s">
        <v>126</v>
      </c>
      <c r="C7" t="s">
        <v>127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</row>
    <row r="8" spans="1:11" x14ac:dyDescent="0.3">
      <c r="A8" t="s">
        <v>51</v>
      </c>
      <c r="B8" t="s">
        <v>128</v>
      </c>
      <c r="C8" t="s">
        <v>129</v>
      </c>
      <c r="D8" s="2" t="s">
        <v>45</v>
      </c>
      <c r="E8" s="2" t="s">
        <v>45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</row>
    <row r="9" spans="1:11" x14ac:dyDescent="0.3">
      <c r="A9" t="s">
        <v>51</v>
      </c>
      <c r="B9" t="s">
        <v>130</v>
      </c>
      <c r="C9" t="s">
        <v>131</v>
      </c>
      <c r="D9" s="2" t="s">
        <v>45</v>
      </c>
      <c r="E9" s="2" t="s">
        <v>45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</row>
    <row r="10" spans="1:11" x14ac:dyDescent="0.3">
      <c r="A10" t="s">
        <v>51</v>
      </c>
      <c r="B10" t="s">
        <v>132</v>
      </c>
      <c r="C10" t="s">
        <v>133</v>
      </c>
      <c r="D10" s="2" t="s">
        <v>45</v>
      </c>
      <c r="E10" s="2" t="s">
        <v>45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</row>
    <row r="11" spans="1:11" x14ac:dyDescent="0.3">
      <c r="A11" t="s">
        <v>51</v>
      </c>
      <c r="B11" t="s">
        <v>134</v>
      </c>
      <c r="C11" t="s">
        <v>135</v>
      </c>
      <c r="D11" s="2" t="s">
        <v>45</v>
      </c>
      <c r="E11" s="2" t="s">
        <v>45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</row>
    <row r="12" spans="1:11" x14ac:dyDescent="0.3">
      <c r="A12" t="s">
        <v>51</v>
      </c>
      <c r="B12" t="s">
        <v>136</v>
      </c>
      <c r="C12" t="s">
        <v>135</v>
      </c>
      <c r="D12" s="2" t="s">
        <v>45</v>
      </c>
      <c r="E12" s="2" t="s">
        <v>45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</row>
    <row r="13" spans="1:11" x14ac:dyDescent="0.3">
      <c r="A13" t="s">
        <v>51</v>
      </c>
      <c r="B13" t="s">
        <v>137</v>
      </c>
      <c r="C13" t="s">
        <v>135</v>
      </c>
      <c r="D13" s="2" t="s">
        <v>45</v>
      </c>
      <c r="E13" s="2" t="s">
        <v>45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</row>
    <row r="14" spans="1:11" x14ac:dyDescent="0.3">
      <c r="A14" t="s">
        <v>51</v>
      </c>
      <c r="B14" t="s">
        <v>138</v>
      </c>
      <c r="C14" t="s">
        <v>139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2" t="s">
        <v>45</v>
      </c>
      <c r="J14" s="2" t="s">
        <v>45</v>
      </c>
    </row>
    <row r="15" spans="1:11" x14ac:dyDescent="0.3">
      <c r="A15" t="s">
        <v>51</v>
      </c>
      <c r="B15" t="s">
        <v>140</v>
      </c>
      <c r="C15" t="s">
        <v>141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</row>
    <row r="16" spans="1:11" x14ac:dyDescent="0.3">
      <c r="A16" t="s">
        <v>51</v>
      </c>
      <c r="B16" t="s">
        <v>62</v>
      </c>
      <c r="C16" t="s">
        <v>142</v>
      </c>
      <c r="D16" s="2" t="s">
        <v>45</v>
      </c>
      <c r="E16" s="2" t="s">
        <v>45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</row>
    <row r="17" spans="1:10" x14ac:dyDescent="0.3">
      <c r="A17" t="s">
        <v>58</v>
      </c>
      <c r="B17" t="s">
        <v>143</v>
      </c>
      <c r="C17" t="s">
        <v>144</v>
      </c>
      <c r="D17" s="2" t="s">
        <v>45</v>
      </c>
      <c r="E17" s="2" t="s">
        <v>45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</row>
    <row r="18" spans="1:10" x14ac:dyDescent="0.3">
      <c r="A18" t="s">
        <v>58</v>
      </c>
      <c r="B18" t="s">
        <v>145</v>
      </c>
      <c r="C18" t="s">
        <v>146</v>
      </c>
      <c r="D18" s="2" t="s">
        <v>45</v>
      </c>
      <c r="E18" s="2" t="s">
        <v>45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</row>
    <row r="19" spans="1:10" x14ac:dyDescent="0.3">
      <c r="A19" t="s">
        <v>58</v>
      </c>
      <c r="B19" t="s">
        <v>147</v>
      </c>
      <c r="C19" t="s">
        <v>146</v>
      </c>
      <c r="D19" s="2" t="s">
        <v>45</v>
      </c>
      <c r="E19" s="2" t="s">
        <v>45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</row>
    <row r="20" spans="1:10" x14ac:dyDescent="0.3">
      <c r="A20" t="s">
        <v>58</v>
      </c>
      <c r="B20" t="s">
        <v>148</v>
      </c>
      <c r="C20" t="s">
        <v>146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</row>
    <row r="21" spans="1:10" x14ac:dyDescent="0.3">
      <c r="A21" t="s">
        <v>58</v>
      </c>
      <c r="B21" t="s">
        <v>149</v>
      </c>
      <c r="C21" t="s">
        <v>150</v>
      </c>
      <c r="D21" s="2" t="s">
        <v>45</v>
      </c>
      <c r="E21" s="2" t="s">
        <v>45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</row>
    <row r="22" spans="1:10" x14ac:dyDescent="0.3">
      <c r="A22" t="s">
        <v>63</v>
      </c>
      <c r="B22" t="s">
        <v>151</v>
      </c>
      <c r="C22" t="s">
        <v>152</v>
      </c>
      <c r="D22" s="2" t="s">
        <v>45</v>
      </c>
      <c r="E22" s="2" t="s">
        <v>45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</row>
    <row r="23" spans="1:10" x14ac:dyDescent="0.3">
      <c r="A23" t="s">
        <v>63</v>
      </c>
      <c r="B23" t="s">
        <v>153</v>
      </c>
      <c r="C23" t="s">
        <v>152</v>
      </c>
      <c r="D23" s="2" t="s">
        <v>45</v>
      </c>
      <c r="E23" s="2" t="s">
        <v>45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</row>
    <row r="24" spans="1:10" x14ac:dyDescent="0.3">
      <c r="A24" t="s">
        <v>66</v>
      </c>
      <c r="B24" t="s">
        <v>154</v>
      </c>
      <c r="C24" t="s">
        <v>155</v>
      </c>
      <c r="D24" s="2" t="s">
        <v>45</v>
      </c>
      <c r="E24" s="2" t="s">
        <v>45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</row>
    <row r="25" spans="1:10" x14ac:dyDescent="0.3">
      <c r="A25" t="s">
        <v>66</v>
      </c>
      <c r="B25" t="s">
        <v>156</v>
      </c>
      <c r="C25" t="s">
        <v>157</v>
      </c>
      <c r="D25" s="2" t="s">
        <v>45</v>
      </c>
      <c r="E25" s="2" t="s">
        <v>45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</row>
    <row r="26" spans="1:10" x14ac:dyDescent="0.3">
      <c r="A26" t="s">
        <v>66</v>
      </c>
      <c r="B26" t="s">
        <v>158</v>
      </c>
      <c r="C26" t="s">
        <v>159</v>
      </c>
      <c r="D26" s="2" t="s">
        <v>45</v>
      </c>
      <c r="E26" s="2" t="s">
        <v>45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</row>
    <row r="27" spans="1:10" x14ac:dyDescent="0.3">
      <c r="A27" t="s">
        <v>66</v>
      </c>
      <c r="B27" t="s">
        <v>134</v>
      </c>
      <c r="C27" t="s">
        <v>160</v>
      </c>
      <c r="D27" s="2" t="s">
        <v>45</v>
      </c>
      <c r="E27" s="2" t="s">
        <v>45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</row>
    <row r="28" spans="1:10" x14ac:dyDescent="0.3">
      <c r="A28" t="s">
        <v>66</v>
      </c>
      <c r="B28" t="s">
        <v>161</v>
      </c>
      <c r="C28" t="s">
        <v>162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</row>
    <row r="29" spans="1:10" x14ac:dyDescent="0.3">
      <c r="A29" t="s">
        <v>66</v>
      </c>
      <c r="B29" t="s">
        <v>163</v>
      </c>
      <c r="C29" t="s">
        <v>164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</row>
    <row r="30" spans="1:10" x14ac:dyDescent="0.3">
      <c r="A30" t="s">
        <v>66</v>
      </c>
      <c r="B30" t="s">
        <v>165</v>
      </c>
      <c r="C30" t="s">
        <v>166</v>
      </c>
      <c r="D30" s="2" t="s">
        <v>45</v>
      </c>
      <c r="E30" s="2" t="s">
        <v>45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</row>
    <row r="31" spans="1:10" x14ac:dyDescent="0.3">
      <c r="A31" t="s">
        <v>66</v>
      </c>
      <c r="B31" t="s">
        <v>167</v>
      </c>
      <c r="C31" t="s">
        <v>168</v>
      </c>
      <c r="D31" s="2" t="s">
        <v>45</v>
      </c>
      <c r="E31" s="2" t="s">
        <v>45</v>
      </c>
      <c r="F31" s="3" t="s">
        <v>169</v>
      </c>
      <c r="G31" s="2" t="s">
        <v>45</v>
      </c>
      <c r="H31" s="2" t="s">
        <v>45</v>
      </c>
      <c r="I31" s="2" t="s">
        <v>45</v>
      </c>
      <c r="J31" s="2" t="s">
        <v>45</v>
      </c>
    </row>
    <row r="32" spans="1:10" x14ac:dyDescent="0.3">
      <c r="A32" t="s">
        <v>66</v>
      </c>
      <c r="B32" t="s">
        <v>170</v>
      </c>
      <c r="C32" t="s">
        <v>171</v>
      </c>
      <c r="D32" s="2" t="s">
        <v>45</v>
      </c>
      <c r="E32" s="2" t="s">
        <v>45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</row>
    <row r="33" spans="1:10" x14ac:dyDescent="0.3">
      <c r="A33" t="s">
        <v>66</v>
      </c>
      <c r="B33" t="s">
        <v>172</v>
      </c>
      <c r="C33" t="s">
        <v>173</v>
      </c>
      <c r="D33" s="2" t="s">
        <v>45</v>
      </c>
      <c r="E33" s="2" t="s">
        <v>45</v>
      </c>
      <c r="F33" s="2" t="s">
        <v>45</v>
      </c>
      <c r="G33" s="2" t="s">
        <v>45</v>
      </c>
      <c r="H33" s="2" t="s">
        <v>45</v>
      </c>
      <c r="I33" s="2" t="s">
        <v>45</v>
      </c>
      <c r="J33" s="2" t="s">
        <v>45</v>
      </c>
    </row>
    <row r="34" spans="1:10" x14ac:dyDescent="0.3">
      <c r="A34" t="s">
        <v>66</v>
      </c>
      <c r="B34" t="s">
        <v>174</v>
      </c>
      <c r="C34" t="s">
        <v>168</v>
      </c>
      <c r="D34" s="2" t="s">
        <v>45</v>
      </c>
      <c r="E34" s="2" t="s">
        <v>45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</row>
    <row r="35" spans="1:10" x14ac:dyDescent="0.3">
      <c r="A35" t="s">
        <v>66</v>
      </c>
      <c r="B35" t="s">
        <v>175</v>
      </c>
      <c r="C35" t="s">
        <v>176</v>
      </c>
      <c r="D35" s="2" t="s">
        <v>45</v>
      </c>
      <c r="E35" s="2" t="s">
        <v>45</v>
      </c>
      <c r="F35" s="2" t="s">
        <v>45</v>
      </c>
      <c r="G35" s="2" t="s">
        <v>45</v>
      </c>
      <c r="H35" s="2" t="s">
        <v>45</v>
      </c>
      <c r="I35" s="2" t="s">
        <v>45</v>
      </c>
      <c r="J35" s="2" t="s">
        <v>45</v>
      </c>
    </row>
    <row r="36" spans="1:10" x14ac:dyDescent="0.3">
      <c r="A36" t="s">
        <v>72</v>
      </c>
      <c r="B36" t="s">
        <v>177</v>
      </c>
      <c r="C36" t="s">
        <v>178</v>
      </c>
      <c r="D36" s="2" t="s">
        <v>45</v>
      </c>
      <c r="E36" s="2" t="s">
        <v>45</v>
      </c>
      <c r="F36" s="2" t="s">
        <v>45</v>
      </c>
      <c r="G36" s="2" t="s">
        <v>45</v>
      </c>
      <c r="H36" s="2" t="s">
        <v>45</v>
      </c>
      <c r="I36" s="2" t="s">
        <v>45</v>
      </c>
      <c r="J36" s="2" t="s">
        <v>45</v>
      </c>
    </row>
    <row r="37" spans="1:10" x14ac:dyDescent="0.3">
      <c r="A37" t="s">
        <v>72</v>
      </c>
      <c r="B37" t="s">
        <v>179</v>
      </c>
      <c r="C37" t="s">
        <v>180</v>
      </c>
      <c r="D37" s="2" t="s">
        <v>45</v>
      </c>
      <c r="E37" s="2" t="s">
        <v>45</v>
      </c>
      <c r="F37" s="2" t="s">
        <v>45</v>
      </c>
      <c r="G37" s="2" t="s">
        <v>45</v>
      </c>
      <c r="H37" s="2" t="s">
        <v>45</v>
      </c>
      <c r="I37" s="2" t="s">
        <v>45</v>
      </c>
      <c r="J37" s="2" t="s">
        <v>45</v>
      </c>
    </row>
    <row r="38" spans="1:10" x14ac:dyDescent="0.3">
      <c r="A38" t="s">
        <v>72</v>
      </c>
      <c r="B38" t="s">
        <v>181</v>
      </c>
      <c r="C38" t="s">
        <v>182</v>
      </c>
      <c r="D38" s="2" t="s">
        <v>45</v>
      </c>
      <c r="E38" s="2" t="s">
        <v>45</v>
      </c>
      <c r="F38" s="2" t="s">
        <v>45</v>
      </c>
      <c r="G38" s="2" t="s">
        <v>45</v>
      </c>
      <c r="H38" s="2" t="s">
        <v>45</v>
      </c>
      <c r="I38" s="2" t="s">
        <v>45</v>
      </c>
      <c r="J38" s="2" t="s">
        <v>45</v>
      </c>
    </row>
    <row r="39" spans="1:10" x14ac:dyDescent="0.3">
      <c r="A39" t="s">
        <v>72</v>
      </c>
      <c r="B39" t="s">
        <v>183</v>
      </c>
      <c r="C39" t="s">
        <v>184</v>
      </c>
      <c r="D39" s="2" t="s">
        <v>45</v>
      </c>
      <c r="E39" s="2" t="s">
        <v>45</v>
      </c>
      <c r="F39" s="2" t="s">
        <v>45</v>
      </c>
      <c r="G39" s="2" t="s">
        <v>45</v>
      </c>
      <c r="H39" s="2" t="s">
        <v>45</v>
      </c>
      <c r="I39" s="2" t="s">
        <v>45</v>
      </c>
      <c r="J39" s="2" t="s">
        <v>45</v>
      </c>
    </row>
    <row r="40" spans="1:10" x14ac:dyDescent="0.3">
      <c r="A40" t="s">
        <v>72</v>
      </c>
      <c r="B40" t="s">
        <v>185</v>
      </c>
      <c r="C40" t="s">
        <v>186</v>
      </c>
      <c r="D40" s="2" t="s">
        <v>45</v>
      </c>
      <c r="E40" s="2" t="s">
        <v>45</v>
      </c>
      <c r="F40" s="2" t="s">
        <v>45</v>
      </c>
      <c r="G40" s="2" t="s">
        <v>45</v>
      </c>
      <c r="H40" s="2" t="s">
        <v>45</v>
      </c>
      <c r="I40" s="2" t="s">
        <v>45</v>
      </c>
      <c r="J40" s="2" t="s">
        <v>45</v>
      </c>
    </row>
    <row r="41" spans="1:10" x14ac:dyDescent="0.3">
      <c r="A41" t="s">
        <v>72</v>
      </c>
      <c r="B41" t="s">
        <v>187</v>
      </c>
      <c r="C41" t="s">
        <v>188</v>
      </c>
      <c r="D41" s="2" t="s">
        <v>45</v>
      </c>
      <c r="E41" s="2" t="s">
        <v>45</v>
      </c>
      <c r="F41" s="2" t="s">
        <v>45</v>
      </c>
      <c r="G41" s="2" t="s">
        <v>45</v>
      </c>
      <c r="H41" s="2" t="s">
        <v>45</v>
      </c>
      <c r="I41" s="2" t="s">
        <v>45</v>
      </c>
      <c r="J41" s="2" t="s">
        <v>45</v>
      </c>
    </row>
    <row r="42" spans="1:10" x14ac:dyDescent="0.3">
      <c r="A42" t="s">
        <v>72</v>
      </c>
      <c r="B42" t="s">
        <v>189</v>
      </c>
      <c r="C42" t="s">
        <v>190</v>
      </c>
      <c r="D42" s="2" t="s">
        <v>45</v>
      </c>
      <c r="E42" s="2" t="s">
        <v>45</v>
      </c>
      <c r="F42" s="2" t="s">
        <v>45</v>
      </c>
      <c r="G42" s="2" t="s">
        <v>45</v>
      </c>
      <c r="H42" s="2" t="s">
        <v>45</v>
      </c>
      <c r="I42" s="2" t="s">
        <v>45</v>
      </c>
      <c r="J42" s="2" t="s">
        <v>45</v>
      </c>
    </row>
    <row r="50" spans="3:37" x14ac:dyDescent="0.3">
      <c r="C50" t="s">
        <v>629</v>
      </c>
      <c r="H50" t="s">
        <v>630</v>
      </c>
      <c r="I50" t="s">
        <v>631</v>
      </c>
      <c r="J50" t="s">
        <v>632</v>
      </c>
      <c r="K50" t="s">
        <v>633</v>
      </c>
      <c r="L50" t="s">
        <v>634</v>
      </c>
      <c r="M50" t="s">
        <v>634</v>
      </c>
      <c r="N50" t="s">
        <v>634</v>
      </c>
      <c r="O50" t="s">
        <v>634</v>
      </c>
      <c r="P50" t="s">
        <v>634</v>
      </c>
      <c r="Q50" t="s">
        <v>634</v>
      </c>
      <c r="R50" t="s">
        <v>635</v>
      </c>
      <c r="S50" t="s">
        <v>636</v>
      </c>
    </row>
    <row r="51" spans="3:37" x14ac:dyDescent="0.3">
      <c r="C51" t="s">
        <v>637</v>
      </c>
      <c r="D51" t="s">
        <v>638</v>
      </c>
      <c r="I51" t="s">
        <v>639</v>
      </c>
    </row>
    <row r="52" spans="3:37" x14ac:dyDescent="0.3">
      <c r="C52" t="s">
        <v>640</v>
      </c>
      <c r="H52" t="s">
        <v>641</v>
      </c>
      <c r="I52" t="s">
        <v>642</v>
      </c>
      <c r="J52" t="s">
        <v>643</v>
      </c>
      <c r="K52" t="s">
        <v>644</v>
      </c>
      <c r="L52" t="s">
        <v>645</v>
      </c>
      <c r="M52" t="s">
        <v>646</v>
      </c>
      <c r="N52" t="s">
        <v>647</v>
      </c>
      <c r="O52" t="s">
        <v>643</v>
      </c>
      <c r="P52" t="s">
        <v>644</v>
      </c>
      <c r="Q52" t="s">
        <v>645</v>
      </c>
      <c r="R52" t="s">
        <v>648</v>
      </c>
      <c r="S52" t="s">
        <v>649</v>
      </c>
    </row>
    <row r="53" spans="3:37" x14ac:dyDescent="0.3">
      <c r="C53" t="s">
        <v>650</v>
      </c>
      <c r="I53" t="s">
        <v>651</v>
      </c>
      <c r="J53" t="s">
        <v>652</v>
      </c>
      <c r="K53" t="s">
        <v>653</v>
      </c>
      <c r="L53" t="s">
        <v>654</v>
      </c>
      <c r="N53" t="s">
        <v>655</v>
      </c>
      <c r="O53" t="s">
        <v>652</v>
      </c>
      <c r="P53" t="s">
        <v>653</v>
      </c>
      <c r="Q53" t="s">
        <v>654</v>
      </c>
      <c r="R53" t="s">
        <v>648</v>
      </c>
      <c r="S53" t="s">
        <v>656</v>
      </c>
      <c r="T53" t="s">
        <v>657</v>
      </c>
      <c r="U53" t="s">
        <v>658</v>
      </c>
      <c r="V53" t="s">
        <v>659</v>
      </c>
      <c r="W53" t="s">
        <v>660</v>
      </c>
      <c r="X53" t="s">
        <v>661</v>
      </c>
      <c r="Y53" t="s">
        <v>662</v>
      </c>
      <c r="Z53" t="s">
        <v>663</v>
      </c>
      <c r="AA53" t="s">
        <v>664</v>
      </c>
      <c r="AB53" t="s">
        <v>665</v>
      </c>
      <c r="AC53" t="s">
        <v>666</v>
      </c>
      <c r="AD53" t="s">
        <v>667</v>
      </c>
      <c r="AE53" t="s">
        <v>668</v>
      </c>
      <c r="AF53" t="s">
        <v>669</v>
      </c>
      <c r="AG53" t="s">
        <v>670</v>
      </c>
      <c r="AH53" t="s">
        <v>671</v>
      </c>
      <c r="AI53" t="s">
        <v>672</v>
      </c>
      <c r="AJ53" t="s">
        <v>673</v>
      </c>
      <c r="AK53" t="s">
        <v>674</v>
      </c>
    </row>
    <row r="54" spans="3:37" x14ac:dyDescent="0.3">
      <c r="H54" t="s">
        <v>675</v>
      </c>
      <c r="I54" t="s">
        <v>676</v>
      </c>
      <c r="J54">
        <v>741</v>
      </c>
      <c r="K54">
        <v>38</v>
      </c>
      <c r="L54">
        <v>0</v>
      </c>
      <c r="M54" t="s">
        <v>677</v>
      </c>
      <c r="N54" t="s">
        <v>678</v>
      </c>
      <c r="O54" t="s">
        <v>648</v>
      </c>
      <c r="R54" t="s">
        <v>679</v>
      </c>
      <c r="S54" t="s">
        <v>680</v>
      </c>
      <c r="T54" t="s">
        <v>681</v>
      </c>
      <c r="U54" t="s">
        <v>681</v>
      </c>
      <c r="V54" t="s">
        <v>681</v>
      </c>
      <c r="W54" t="s">
        <v>681</v>
      </c>
      <c r="X54" t="s">
        <v>681</v>
      </c>
      <c r="Y54" t="s">
        <v>681</v>
      </c>
      <c r="Z54" t="s">
        <v>681</v>
      </c>
      <c r="AA54" t="s">
        <v>681</v>
      </c>
      <c r="AB54" t="s">
        <v>681</v>
      </c>
      <c r="AC54" t="s">
        <v>681</v>
      </c>
      <c r="AD54" t="s">
        <v>681</v>
      </c>
      <c r="AE54" t="s">
        <v>681</v>
      </c>
      <c r="AF54" t="s">
        <v>681</v>
      </c>
      <c r="AG54" t="s">
        <v>681</v>
      </c>
      <c r="AH54" t="s">
        <v>681</v>
      </c>
      <c r="AI54" t="s">
        <v>681</v>
      </c>
      <c r="AJ54" t="s">
        <v>681</v>
      </c>
      <c r="AK54" t="s">
        <v>681</v>
      </c>
    </row>
    <row r="55" spans="3:37" x14ac:dyDescent="0.3">
      <c r="C55" t="s">
        <v>682</v>
      </c>
      <c r="D55" s="12">
        <v>0.5</v>
      </c>
      <c r="H55" t="s">
        <v>683</v>
      </c>
      <c r="I55" t="s">
        <v>684</v>
      </c>
      <c r="J55">
        <v>1300</v>
      </c>
      <c r="K55">
        <v>75</v>
      </c>
      <c r="L55">
        <v>13</v>
      </c>
      <c r="M55" t="s">
        <v>677</v>
      </c>
      <c r="O55">
        <v>4217</v>
      </c>
      <c r="P55">
        <v>172</v>
      </c>
      <c r="Q55">
        <v>42</v>
      </c>
      <c r="R55" t="s">
        <v>635</v>
      </c>
      <c r="S55" t="s">
        <v>685</v>
      </c>
      <c r="T55" t="s">
        <v>681</v>
      </c>
      <c r="U55" t="s">
        <v>681</v>
      </c>
      <c r="V55" t="s">
        <v>681</v>
      </c>
      <c r="W55" t="s">
        <v>681</v>
      </c>
      <c r="X55" t="s">
        <v>681</v>
      </c>
      <c r="Y55" t="s">
        <v>681</v>
      </c>
      <c r="Z55" t="s">
        <v>681</v>
      </c>
      <c r="AA55" t="s">
        <v>681</v>
      </c>
      <c r="AB55" t="s">
        <v>681</v>
      </c>
      <c r="AC55" t="s">
        <v>681</v>
      </c>
      <c r="AD55" t="s">
        <v>681</v>
      </c>
      <c r="AE55" t="s">
        <v>681</v>
      </c>
      <c r="AF55" t="s">
        <v>681</v>
      </c>
      <c r="AG55" t="s">
        <v>681</v>
      </c>
      <c r="AH55" t="s">
        <v>681</v>
      </c>
      <c r="AI55" t="s">
        <v>681</v>
      </c>
      <c r="AJ55" t="s">
        <v>681</v>
      </c>
      <c r="AK55" t="s">
        <v>681</v>
      </c>
    </row>
    <row r="56" spans="3:37" x14ac:dyDescent="0.3">
      <c r="C56" t="s">
        <v>686</v>
      </c>
      <c r="D56" s="12">
        <v>0.5</v>
      </c>
      <c r="H56" t="s">
        <v>683</v>
      </c>
      <c r="I56" t="s">
        <v>687</v>
      </c>
      <c r="J56">
        <v>1533</v>
      </c>
      <c r="K56">
        <v>88</v>
      </c>
      <c r="L56">
        <v>8</v>
      </c>
      <c r="M56" t="s">
        <v>677</v>
      </c>
      <c r="N56" t="s">
        <v>688</v>
      </c>
      <c r="O56" t="s">
        <v>648</v>
      </c>
      <c r="R56" t="s">
        <v>679</v>
      </c>
      <c r="S56" t="s">
        <v>689</v>
      </c>
      <c r="T56" t="s">
        <v>681</v>
      </c>
      <c r="U56" t="s">
        <v>690</v>
      </c>
      <c r="V56" t="s">
        <v>691</v>
      </c>
      <c r="W56" t="s">
        <v>692</v>
      </c>
      <c r="X56" t="s">
        <v>693</v>
      </c>
      <c r="Y56" t="s">
        <v>694</v>
      </c>
      <c r="Z56" t="s">
        <v>681</v>
      </c>
      <c r="AA56" t="s">
        <v>681</v>
      </c>
      <c r="AB56" t="s">
        <v>681</v>
      </c>
      <c r="AC56" t="s">
        <v>681</v>
      </c>
      <c r="AD56" t="s">
        <v>695</v>
      </c>
      <c r="AE56" t="s">
        <v>681</v>
      </c>
      <c r="AF56" t="s">
        <v>681</v>
      </c>
      <c r="AG56" t="s">
        <v>681</v>
      </c>
      <c r="AH56" t="s">
        <v>681</v>
      </c>
      <c r="AI56" t="s">
        <v>681</v>
      </c>
      <c r="AJ56" t="s">
        <v>696</v>
      </c>
      <c r="AK56" t="s">
        <v>692</v>
      </c>
    </row>
    <row r="57" spans="3:37" x14ac:dyDescent="0.3">
      <c r="C57" t="s">
        <v>697</v>
      </c>
      <c r="D57" s="12">
        <v>0.5</v>
      </c>
      <c r="H57" t="s">
        <v>683</v>
      </c>
      <c r="I57" t="s">
        <v>698</v>
      </c>
      <c r="J57">
        <v>468</v>
      </c>
      <c r="K57">
        <v>20</v>
      </c>
      <c r="L57">
        <v>1</v>
      </c>
      <c r="M57" t="s">
        <v>677</v>
      </c>
      <c r="O57">
        <v>1314</v>
      </c>
      <c r="P57">
        <v>88</v>
      </c>
      <c r="Q57">
        <v>0</v>
      </c>
      <c r="R57" t="s">
        <v>635</v>
      </c>
      <c r="S57" t="s">
        <v>699</v>
      </c>
      <c r="T57" t="s">
        <v>681</v>
      </c>
      <c r="U57" t="s">
        <v>681</v>
      </c>
      <c r="V57" t="s">
        <v>681</v>
      </c>
      <c r="W57" t="s">
        <v>681</v>
      </c>
      <c r="X57" t="s">
        <v>681</v>
      </c>
      <c r="Y57" t="s">
        <v>681</v>
      </c>
      <c r="Z57" t="s">
        <v>681</v>
      </c>
      <c r="AA57" t="s">
        <v>681</v>
      </c>
      <c r="AB57" t="s">
        <v>700</v>
      </c>
      <c r="AC57" t="s">
        <v>681</v>
      </c>
      <c r="AD57" t="s">
        <v>701</v>
      </c>
      <c r="AE57" t="s">
        <v>681</v>
      </c>
      <c r="AF57" t="s">
        <v>681</v>
      </c>
      <c r="AG57" t="s">
        <v>681</v>
      </c>
      <c r="AH57" t="s">
        <v>681</v>
      </c>
      <c r="AI57" t="s">
        <v>681</v>
      </c>
      <c r="AJ57" t="s">
        <v>696</v>
      </c>
      <c r="AK57" t="s">
        <v>702</v>
      </c>
    </row>
    <row r="58" spans="3:37" x14ac:dyDescent="0.3">
      <c r="C58" t="s">
        <v>703</v>
      </c>
      <c r="D58" s="12">
        <v>0.5</v>
      </c>
      <c r="H58" t="s">
        <v>683</v>
      </c>
      <c r="I58" t="s">
        <v>704</v>
      </c>
      <c r="J58">
        <v>1882</v>
      </c>
      <c r="K58">
        <v>108</v>
      </c>
      <c r="L58">
        <v>63</v>
      </c>
      <c r="M58" t="s">
        <v>677</v>
      </c>
      <c r="N58" t="s">
        <v>705</v>
      </c>
      <c r="O58" t="s">
        <v>648</v>
      </c>
      <c r="R58" t="s">
        <v>679</v>
      </c>
      <c r="S58" t="s">
        <v>706</v>
      </c>
      <c r="T58" t="s">
        <v>681</v>
      </c>
      <c r="U58" t="s">
        <v>681</v>
      </c>
      <c r="V58" t="s">
        <v>681</v>
      </c>
      <c r="W58" t="s">
        <v>681</v>
      </c>
      <c r="X58" t="s">
        <v>681</v>
      </c>
      <c r="Y58" t="s">
        <v>681</v>
      </c>
      <c r="Z58" t="s">
        <v>707</v>
      </c>
      <c r="AA58" t="s">
        <v>681</v>
      </c>
      <c r="AB58" t="s">
        <v>681</v>
      </c>
      <c r="AC58" t="s">
        <v>681</v>
      </c>
      <c r="AD58" t="s">
        <v>681</v>
      </c>
      <c r="AE58" t="s">
        <v>681</v>
      </c>
      <c r="AF58" t="s">
        <v>708</v>
      </c>
      <c r="AG58" t="s">
        <v>709</v>
      </c>
      <c r="AH58" t="s">
        <v>681</v>
      </c>
      <c r="AI58" t="s">
        <v>681</v>
      </c>
      <c r="AJ58" t="s">
        <v>681</v>
      </c>
      <c r="AK58" t="s">
        <v>710</v>
      </c>
    </row>
    <row r="59" spans="3:37" x14ac:dyDescent="0.3">
      <c r="C59" t="s">
        <v>711</v>
      </c>
      <c r="D59" s="12">
        <v>0.5</v>
      </c>
      <c r="H59" t="s">
        <v>683</v>
      </c>
      <c r="I59" t="s">
        <v>712</v>
      </c>
      <c r="J59">
        <v>3504</v>
      </c>
      <c r="K59">
        <v>201</v>
      </c>
      <c r="L59">
        <v>18</v>
      </c>
      <c r="M59" t="s">
        <v>677</v>
      </c>
      <c r="O59">
        <v>743</v>
      </c>
      <c r="P59">
        <v>30</v>
      </c>
      <c r="Q59">
        <v>7</v>
      </c>
      <c r="R59" t="s">
        <v>635</v>
      </c>
      <c r="S59" t="s">
        <v>713</v>
      </c>
      <c r="T59" t="s">
        <v>681</v>
      </c>
      <c r="U59" t="s">
        <v>681</v>
      </c>
      <c r="V59" t="s">
        <v>681</v>
      </c>
      <c r="W59" t="s">
        <v>681</v>
      </c>
      <c r="X59" t="s">
        <v>681</v>
      </c>
      <c r="Y59" t="s">
        <v>681</v>
      </c>
      <c r="Z59" t="s">
        <v>681</v>
      </c>
      <c r="AA59" t="s">
        <v>681</v>
      </c>
      <c r="AB59" t="s">
        <v>681</v>
      </c>
      <c r="AC59" t="s">
        <v>714</v>
      </c>
      <c r="AD59" t="s">
        <v>715</v>
      </c>
      <c r="AE59" t="s">
        <v>716</v>
      </c>
      <c r="AF59" t="s">
        <v>681</v>
      </c>
      <c r="AG59" t="s">
        <v>681</v>
      </c>
      <c r="AH59" t="s">
        <v>717</v>
      </c>
      <c r="AI59" t="s">
        <v>681</v>
      </c>
      <c r="AJ59" t="s">
        <v>681</v>
      </c>
      <c r="AK59" t="s">
        <v>681</v>
      </c>
    </row>
    <row r="60" spans="3:37" x14ac:dyDescent="0.3">
      <c r="C60" t="s">
        <v>718</v>
      </c>
      <c r="D60" s="12">
        <v>0.5</v>
      </c>
      <c r="H60" t="s">
        <v>683</v>
      </c>
      <c r="I60" t="s">
        <v>719</v>
      </c>
      <c r="J60">
        <v>26</v>
      </c>
      <c r="K60">
        <v>1</v>
      </c>
      <c r="L60">
        <v>0</v>
      </c>
      <c r="M60" t="s">
        <v>677</v>
      </c>
      <c r="N60" t="s">
        <v>720</v>
      </c>
      <c r="O60" t="s">
        <v>648</v>
      </c>
      <c r="R60" t="s">
        <v>679</v>
      </c>
      <c r="S60" t="s">
        <v>721</v>
      </c>
      <c r="T60" t="s">
        <v>681</v>
      </c>
      <c r="U60" t="s">
        <v>681</v>
      </c>
      <c r="V60" t="s">
        <v>681</v>
      </c>
      <c r="W60" t="s">
        <v>681</v>
      </c>
      <c r="X60" t="s">
        <v>681</v>
      </c>
      <c r="Y60" t="s">
        <v>681</v>
      </c>
      <c r="Z60" t="s">
        <v>681</v>
      </c>
      <c r="AA60" t="s">
        <v>681</v>
      </c>
      <c r="AB60" t="s">
        <v>681</v>
      </c>
      <c r="AC60" t="s">
        <v>681</v>
      </c>
      <c r="AD60" t="s">
        <v>681</v>
      </c>
      <c r="AE60" t="s">
        <v>722</v>
      </c>
      <c r="AF60" t="s">
        <v>681</v>
      </c>
      <c r="AG60" t="s">
        <v>681</v>
      </c>
      <c r="AH60" t="s">
        <v>723</v>
      </c>
      <c r="AI60" t="s">
        <v>681</v>
      </c>
      <c r="AJ60" t="s">
        <v>681</v>
      </c>
      <c r="AK60" t="s">
        <v>681</v>
      </c>
    </row>
    <row r="61" spans="3:37" x14ac:dyDescent="0.3">
      <c r="H61" t="s">
        <v>675</v>
      </c>
      <c r="I61" t="s">
        <v>724</v>
      </c>
      <c r="J61">
        <v>6137</v>
      </c>
      <c r="K61">
        <v>352</v>
      </c>
      <c r="L61">
        <v>227</v>
      </c>
      <c r="M61" t="s">
        <v>677</v>
      </c>
      <c r="O61">
        <v>207</v>
      </c>
      <c r="P61">
        <v>12</v>
      </c>
      <c r="Q61">
        <v>4</v>
      </c>
      <c r="R61" t="s">
        <v>635</v>
      </c>
      <c r="S61" t="s">
        <v>725</v>
      </c>
      <c r="T61" t="s">
        <v>681</v>
      </c>
      <c r="U61" t="s">
        <v>681</v>
      </c>
      <c r="V61" t="s">
        <v>681</v>
      </c>
      <c r="W61" t="s">
        <v>681</v>
      </c>
      <c r="X61" t="s">
        <v>681</v>
      </c>
      <c r="Y61" t="s">
        <v>681</v>
      </c>
      <c r="Z61" t="s">
        <v>726</v>
      </c>
      <c r="AA61" t="s">
        <v>681</v>
      </c>
      <c r="AB61" t="s">
        <v>681</v>
      </c>
      <c r="AC61" t="s">
        <v>681</v>
      </c>
      <c r="AD61" t="s">
        <v>681</v>
      </c>
      <c r="AE61" t="s">
        <v>681</v>
      </c>
      <c r="AF61" t="s">
        <v>681</v>
      </c>
      <c r="AG61" t="s">
        <v>681</v>
      </c>
      <c r="AH61" t="s">
        <v>681</v>
      </c>
      <c r="AI61" t="s">
        <v>681</v>
      </c>
      <c r="AJ61" t="s">
        <v>681</v>
      </c>
      <c r="AK61" t="s">
        <v>726</v>
      </c>
    </row>
    <row r="62" spans="3:37" x14ac:dyDescent="0.3">
      <c r="C62" t="s">
        <v>727</v>
      </c>
      <c r="H62" t="s">
        <v>641</v>
      </c>
      <c r="I62" t="s">
        <v>728</v>
      </c>
      <c r="J62">
        <v>3393</v>
      </c>
      <c r="K62">
        <v>195</v>
      </c>
      <c r="L62">
        <v>114</v>
      </c>
      <c r="M62" t="s">
        <v>677</v>
      </c>
      <c r="N62" t="s">
        <v>729</v>
      </c>
      <c r="O62" t="s">
        <v>648</v>
      </c>
      <c r="R62" t="s">
        <v>679</v>
      </c>
      <c r="S62" t="s">
        <v>730</v>
      </c>
      <c r="T62" t="s">
        <v>681</v>
      </c>
      <c r="U62" t="s">
        <v>690</v>
      </c>
      <c r="V62" t="s">
        <v>691</v>
      </c>
      <c r="W62" t="s">
        <v>692</v>
      </c>
      <c r="X62" t="s">
        <v>693</v>
      </c>
      <c r="Y62" t="s">
        <v>694</v>
      </c>
      <c r="Z62" t="s">
        <v>731</v>
      </c>
      <c r="AA62" t="s">
        <v>681</v>
      </c>
      <c r="AB62" t="s">
        <v>700</v>
      </c>
      <c r="AC62" t="s">
        <v>714</v>
      </c>
      <c r="AD62" t="s">
        <v>732</v>
      </c>
      <c r="AE62" t="s">
        <v>733</v>
      </c>
      <c r="AF62" t="s">
        <v>708</v>
      </c>
      <c r="AG62" t="s">
        <v>709</v>
      </c>
      <c r="AH62" t="s">
        <v>734</v>
      </c>
      <c r="AI62" t="s">
        <v>681</v>
      </c>
      <c r="AJ62" t="s">
        <v>735</v>
      </c>
      <c r="AK62" t="s">
        <v>736</v>
      </c>
    </row>
    <row r="63" spans="3:37" x14ac:dyDescent="0.3">
      <c r="C63" t="s">
        <v>737</v>
      </c>
      <c r="D63" t="s">
        <v>738</v>
      </c>
      <c r="H63" t="s">
        <v>683</v>
      </c>
      <c r="I63" t="s">
        <v>739</v>
      </c>
      <c r="J63">
        <v>5304</v>
      </c>
      <c r="K63">
        <v>271</v>
      </c>
      <c r="L63">
        <v>89</v>
      </c>
      <c r="M63" t="s">
        <v>677</v>
      </c>
      <c r="O63">
        <v>41300</v>
      </c>
      <c r="P63">
        <v>1787</v>
      </c>
      <c r="Q63">
        <v>0</v>
      </c>
    </row>
    <row r="64" spans="3:37" x14ac:dyDescent="0.3">
      <c r="C64" t="s">
        <v>740</v>
      </c>
      <c r="D64" t="s">
        <v>738</v>
      </c>
      <c r="H64" t="s">
        <v>683</v>
      </c>
      <c r="I64" t="s">
        <v>741</v>
      </c>
      <c r="J64">
        <v>15718</v>
      </c>
      <c r="K64">
        <v>802</v>
      </c>
      <c r="L64">
        <v>299</v>
      </c>
      <c r="M64" t="s">
        <v>677</v>
      </c>
      <c r="N64" t="s">
        <v>742</v>
      </c>
      <c r="O64" t="s">
        <v>743</v>
      </c>
      <c r="S64" t="s">
        <v>744</v>
      </c>
    </row>
    <row r="65" spans="3:20" x14ac:dyDescent="0.3">
      <c r="H65" t="s">
        <v>675</v>
      </c>
      <c r="I65" t="s">
        <v>745</v>
      </c>
      <c r="J65">
        <v>15080</v>
      </c>
      <c r="K65">
        <v>652</v>
      </c>
      <c r="L65">
        <v>226</v>
      </c>
      <c r="M65" t="s">
        <v>677</v>
      </c>
      <c r="O65">
        <v>800</v>
      </c>
      <c r="P65">
        <v>46</v>
      </c>
      <c r="Q65">
        <v>0</v>
      </c>
      <c r="R65" t="s">
        <v>635</v>
      </c>
      <c r="S65" t="s">
        <v>746</v>
      </c>
      <c r="T65" t="s">
        <v>747</v>
      </c>
    </row>
    <row r="66" spans="3:20" x14ac:dyDescent="0.3">
      <c r="C66" t="s">
        <v>748</v>
      </c>
      <c r="H66" t="s">
        <v>749</v>
      </c>
      <c r="I66" t="s">
        <v>750</v>
      </c>
      <c r="J66">
        <v>384</v>
      </c>
      <c r="K66">
        <v>21</v>
      </c>
      <c r="L66">
        <v>10</v>
      </c>
      <c r="M66" t="s">
        <v>677</v>
      </c>
      <c r="N66" t="s">
        <v>751</v>
      </c>
      <c r="P66" t="s">
        <v>743</v>
      </c>
      <c r="S66" t="s">
        <v>752</v>
      </c>
      <c r="T66" t="s">
        <v>747</v>
      </c>
    </row>
    <row r="67" spans="3:20" x14ac:dyDescent="0.3">
      <c r="C67" t="s">
        <v>753</v>
      </c>
      <c r="D67" t="s">
        <v>754</v>
      </c>
      <c r="E67" t="s">
        <v>755</v>
      </c>
      <c r="H67" t="s">
        <v>756</v>
      </c>
      <c r="I67" t="s">
        <v>757</v>
      </c>
      <c r="J67">
        <v>0</v>
      </c>
      <c r="K67">
        <v>0</v>
      </c>
      <c r="L67">
        <v>0</v>
      </c>
      <c r="M67" t="s">
        <v>677</v>
      </c>
      <c r="O67">
        <v>267</v>
      </c>
      <c r="P67">
        <v>15</v>
      </c>
      <c r="Q67">
        <v>0</v>
      </c>
      <c r="R67" t="s">
        <v>635</v>
      </c>
      <c r="S67" t="s">
        <v>758</v>
      </c>
      <c r="T67" t="s">
        <v>747</v>
      </c>
    </row>
    <row r="68" spans="3:20" x14ac:dyDescent="0.3">
      <c r="C68" t="s">
        <v>759</v>
      </c>
      <c r="D68" t="s">
        <v>760</v>
      </c>
      <c r="E68" t="s">
        <v>755</v>
      </c>
      <c r="H68" t="s">
        <v>756</v>
      </c>
      <c r="I68" t="s">
        <v>761</v>
      </c>
      <c r="J68">
        <v>0</v>
      </c>
      <c r="K68">
        <v>0</v>
      </c>
      <c r="L68">
        <v>0</v>
      </c>
      <c r="M68" t="s">
        <v>677</v>
      </c>
      <c r="N68" t="s">
        <v>762</v>
      </c>
      <c r="P68" t="s">
        <v>743</v>
      </c>
      <c r="S68" t="s">
        <v>763</v>
      </c>
      <c r="T68" t="s">
        <v>747</v>
      </c>
    </row>
    <row r="69" spans="3:20" x14ac:dyDescent="0.3">
      <c r="C69" t="s">
        <v>764</v>
      </c>
      <c r="D69" t="s">
        <v>765</v>
      </c>
      <c r="E69" t="s">
        <v>766</v>
      </c>
      <c r="H69" t="s">
        <v>743</v>
      </c>
      <c r="I69" t="s">
        <v>767</v>
      </c>
      <c r="J69">
        <v>0</v>
      </c>
      <c r="K69">
        <v>0</v>
      </c>
      <c r="L69">
        <v>0</v>
      </c>
      <c r="M69" t="s">
        <v>677</v>
      </c>
      <c r="O69">
        <v>1364</v>
      </c>
      <c r="P69">
        <v>160</v>
      </c>
      <c r="Q69">
        <v>0</v>
      </c>
      <c r="R69" t="s">
        <v>635</v>
      </c>
      <c r="S69" t="s">
        <v>768</v>
      </c>
      <c r="T69" t="s">
        <v>747</v>
      </c>
    </row>
    <row r="70" spans="3:20" x14ac:dyDescent="0.3">
      <c r="H70" t="s">
        <v>675</v>
      </c>
      <c r="I70" t="s">
        <v>769</v>
      </c>
      <c r="J70">
        <v>0</v>
      </c>
      <c r="K70">
        <v>0</v>
      </c>
      <c r="L70">
        <v>0</v>
      </c>
      <c r="M70" t="s">
        <v>677</v>
      </c>
      <c r="N70" t="s">
        <v>770</v>
      </c>
    </row>
    <row r="71" spans="3:20" x14ac:dyDescent="0.3">
      <c r="C71" t="s">
        <v>771</v>
      </c>
      <c r="D71" t="s">
        <v>772</v>
      </c>
      <c r="E71" t="s">
        <v>773</v>
      </c>
      <c r="H71" t="s">
        <v>774</v>
      </c>
      <c r="I71" t="s">
        <v>775</v>
      </c>
      <c r="J71">
        <v>4360</v>
      </c>
      <c r="K71">
        <v>158</v>
      </c>
      <c r="L71">
        <v>24</v>
      </c>
      <c r="M71" t="s">
        <v>677</v>
      </c>
      <c r="O71">
        <v>3466</v>
      </c>
      <c r="P71">
        <v>290</v>
      </c>
      <c r="Q71">
        <v>0</v>
      </c>
    </row>
    <row r="72" spans="3:20" x14ac:dyDescent="0.3">
      <c r="C72" t="s">
        <v>776</v>
      </c>
      <c r="D72" t="s">
        <v>736</v>
      </c>
      <c r="H72" t="s">
        <v>683</v>
      </c>
      <c r="I72" t="s">
        <v>777</v>
      </c>
      <c r="J72">
        <v>0</v>
      </c>
      <c r="K72">
        <v>0</v>
      </c>
      <c r="L72">
        <v>0</v>
      </c>
      <c r="M72" t="s">
        <v>677</v>
      </c>
      <c r="N72" t="s">
        <v>778</v>
      </c>
    </row>
    <row r="73" spans="3:20" x14ac:dyDescent="0.3">
      <c r="C73" t="s">
        <v>779</v>
      </c>
      <c r="D73" t="s">
        <v>681</v>
      </c>
      <c r="H73" t="s">
        <v>683</v>
      </c>
      <c r="I73" t="s">
        <v>780</v>
      </c>
      <c r="J73">
        <v>2598</v>
      </c>
      <c r="K73">
        <v>175</v>
      </c>
      <c r="L73">
        <v>78</v>
      </c>
      <c r="M73" t="s">
        <v>677</v>
      </c>
      <c r="O73">
        <v>4000</v>
      </c>
      <c r="P73">
        <v>269</v>
      </c>
      <c r="Q73">
        <v>0</v>
      </c>
    </row>
    <row r="74" spans="3:20" x14ac:dyDescent="0.3">
      <c r="C74" t="s">
        <v>781</v>
      </c>
      <c r="D74" t="s">
        <v>782</v>
      </c>
      <c r="H74" t="s">
        <v>683</v>
      </c>
      <c r="I74" t="s">
        <v>783</v>
      </c>
      <c r="J74">
        <v>9504</v>
      </c>
      <c r="K74">
        <v>376</v>
      </c>
      <c r="L74">
        <v>1</v>
      </c>
      <c r="M74" t="s">
        <v>677</v>
      </c>
      <c r="N74" t="s">
        <v>784</v>
      </c>
    </row>
    <row r="75" spans="3:20" x14ac:dyDescent="0.3">
      <c r="C75" t="s">
        <v>785</v>
      </c>
      <c r="D75" t="s">
        <v>786</v>
      </c>
      <c r="H75" t="s">
        <v>683</v>
      </c>
      <c r="I75" t="s">
        <v>787</v>
      </c>
      <c r="J75">
        <v>0</v>
      </c>
      <c r="K75">
        <v>0</v>
      </c>
      <c r="L75">
        <v>0</v>
      </c>
      <c r="M75" t="s">
        <v>677</v>
      </c>
      <c r="O75">
        <v>222</v>
      </c>
      <c r="P75">
        <v>15</v>
      </c>
      <c r="Q75">
        <v>2</v>
      </c>
    </row>
    <row r="76" spans="3:20" x14ac:dyDescent="0.3">
      <c r="C76" t="s">
        <v>788</v>
      </c>
      <c r="D76" t="s">
        <v>736</v>
      </c>
      <c r="H76" t="s">
        <v>683</v>
      </c>
      <c r="I76" t="s">
        <v>789</v>
      </c>
      <c r="J76">
        <v>0</v>
      </c>
      <c r="K76">
        <v>0</v>
      </c>
      <c r="L76">
        <v>0</v>
      </c>
      <c r="M76" t="s">
        <v>677</v>
      </c>
      <c r="N76" t="s">
        <v>790</v>
      </c>
    </row>
    <row r="77" spans="3:20" x14ac:dyDescent="0.3">
      <c r="C77" t="s">
        <v>791</v>
      </c>
      <c r="D77" t="s">
        <v>681</v>
      </c>
      <c r="E77" t="s">
        <v>681</v>
      </c>
      <c r="H77" t="s">
        <v>743</v>
      </c>
      <c r="I77" t="s">
        <v>792</v>
      </c>
      <c r="J77">
        <v>0</v>
      </c>
      <c r="K77">
        <v>0</v>
      </c>
      <c r="L77">
        <v>0</v>
      </c>
      <c r="M77" t="s">
        <v>677</v>
      </c>
      <c r="O77">
        <v>244</v>
      </c>
      <c r="P77">
        <v>16</v>
      </c>
      <c r="Q77">
        <v>2</v>
      </c>
    </row>
    <row r="78" spans="3:20" x14ac:dyDescent="0.3">
      <c r="C78" t="s">
        <v>793</v>
      </c>
      <c r="D78" t="s">
        <v>681</v>
      </c>
      <c r="E78" t="s">
        <v>681</v>
      </c>
      <c r="H78" t="s">
        <v>743</v>
      </c>
      <c r="I78" t="s">
        <v>794</v>
      </c>
      <c r="J78">
        <v>0</v>
      </c>
      <c r="K78">
        <v>0</v>
      </c>
      <c r="L78">
        <v>0</v>
      </c>
      <c r="M78" t="s">
        <v>677</v>
      </c>
      <c r="N78" t="s">
        <v>795</v>
      </c>
    </row>
    <row r="79" spans="3:20" x14ac:dyDescent="0.3">
      <c r="C79" t="s">
        <v>796</v>
      </c>
      <c r="D79" t="s">
        <v>692</v>
      </c>
      <c r="E79" t="s">
        <v>681</v>
      </c>
      <c r="H79" t="s">
        <v>743</v>
      </c>
      <c r="I79" t="s">
        <v>797</v>
      </c>
      <c r="J79">
        <v>0</v>
      </c>
      <c r="K79">
        <v>0</v>
      </c>
      <c r="L79">
        <v>0</v>
      </c>
      <c r="M79" t="s">
        <v>677</v>
      </c>
      <c r="O79">
        <v>2667</v>
      </c>
      <c r="P79">
        <v>115</v>
      </c>
      <c r="Q79">
        <v>33</v>
      </c>
    </row>
    <row r="80" spans="3:20" x14ac:dyDescent="0.3">
      <c r="C80" t="s">
        <v>798</v>
      </c>
      <c r="D80" t="s">
        <v>702</v>
      </c>
      <c r="E80" t="s">
        <v>681</v>
      </c>
      <c r="H80" t="s">
        <v>743</v>
      </c>
      <c r="I80" t="s">
        <v>799</v>
      </c>
      <c r="J80">
        <v>8958</v>
      </c>
      <c r="K80">
        <v>713</v>
      </c>
      <c r="L80">
        <v>223</v>
      </c>
      <c r="M80" t="s">
        <v>677</v>
      </c>
      <c r="N80" t="s">
        <v>800</v>
      </c>
    </row>
    <row r="81" spans="3:17" x14ac:dyDescent="0.3">
      <c r="C81" t="s">
        <v>801</v>
      </c>
      <c r="D81" t="s">
        <v>726</v>
      </c>
      <c r="H81" t="s">
        <v>683</v>
      </c>
      <c r="I81" t="s">
        <v>802</v>
      </c>
      <c r="J81">
        <v>0</v>
      </c>
      <c r="K81">
        <v>0</v>
      </c>
      <c r="L81">
        <v>0</v>
      </c>
      <c r="M81" t="s">
        <v>677</v>
      </c>
      <c r="O81">
        <v>938</v>
      </c>
      <c r="P81">
        <v>54</v>
      </c>
      <c r="Q81">
        <v>19</v>
      </c>
    </row>
    <row r="82" spans="3:17" x14ac:dyDescent="0.3">
      <c r="C82" t="s">
        <v>803</v>
      </c>
      <c r="D82" t="s">
        <v>804</v>
      </c>
      <c r="H82" t="s">
        <v>683</v>
      </c>
      <c r="I82" t="s">
        <v>805</v>
      </c>
      <c r="J82">
        <v>3679</v>
      </c>
      <c r="K82">
        <v>188</v>
      </c>
      <c r="L82">
        <v>50</v>
      </c>
      <c r="M82" t="s">
        <v>677</v>
      </c>
      <c r="N82" t="s">
        <v>806</v>
      </c>
    </row>
    <row r="83" spans="3:17" x14ac:dyDescent="0.3">
      <c r="C83" t="s">
        <v>807</v>
      </c>
      <c r="D83" t="s">
        <v>808</v>
      </c>
      <c r="H83" t="s">
        <v>683</v>
      </c>
      <c r="I83" t="s">
        <v>809</v>
      </c>
      <c r="J83">
        <v>506</v>
      </c>
      <c r="K83">
        <v>42</v>
      </c>
      <c r="L83">
        <v>18</v>
      </c>
      <c r="M83" t="s">
        <v>677</v>
      </c>
      <c r="O83">
        <v>100940</v>
      </c>
      <c r="P83">
        <v>9491</v>
      </c>
      <c r="Q83">
        <v>1968</v>
      </c>
    </row>
    <row r="84" spans="3:17" x14ac:dyDescent="0.3">
      <c r="H84" t="s">
        <v>675</v>
      </c>
      <c r="I84" t="s">
        <v>810</v>
      </c>
      <c r="J84">
        <v>0</v>
      </c>
      <c r="K84">
        <v>0</v>
      </c>
      <c r="L84">
        <v>0</v>
      </c>
      <c r="M84" t="s">
        <v>677</v>
      </c>
      <c r="N84" t="s">
        <v>811</v>
      </c>
    </row>
    <row r="85" spans="3:17" x14ac:dyDescent="0.3">
      <c r="C85" t="s">
        <v>812</v>
      </c>
      <c r="D85" t="s">
        <v>772</v>
      </c>
      <c r="E85" t="s">
        <v>813</v>
      </c>
      <c r="F85" t="s">
        <v>814</v>
      </c>
      <c r="H85" t="s">
        <v>815</v>
      </c>
      <c r="I85" t="s">
        <v>816</v>
      </c>
      <c r="J85">
        <v>0</v>
      </c>
      <c r="K85">
        <v>0</v>
      </c>
      <c r="L85">
        <v>0</v>
      </c>
      <c r="M85" t="s">
        <v>677</v>
      </c>
      <c r="O85">
        <v>1137</v>
      </c>
      <c r="P85">
        <v>133</v>
      </c>
      <c r="Q85">
        <v>0</v>
      </c>
    </row>
    <row r="86" spans="3:17" x14ac:dyDescent="0.3">
      <c r="C86" t="s">
        <v>817</v>
      </c>
      <c r="E86">
        <v>1029</v>
      </c>
      <c r="H86" t="s">
        <v>743</v>
      </c>
      <c r="I86" t="s">
        <v>818</v>
      </c>
      <c r="J86">
        <v>1095</v>
      </c>
      <c r="K86">
        <v>63</v>
      </c>
      <c r="L86">
        <v>26</v>
      </c>
      <c r="M86" t="s">
        <v>677</v>
      </c>
      <c r="N86" t="s">
        <v>819</v>
      </c>
    </row>
    <row r="87" spans="3:17" x14ac:dyDescent="0.3">
      <c r="C87" t="s">
        <v>820</v>
      </c>
      <c r="F87">
        <v>0</v>
      </c>
      <c r="H87" t="s">
        <v>821</v>
      </c>
      <c r="I87" t="s">
        <v>822</v>
      </c>
      <c r="J87">
        <v>0</v>
      </c>
      <c r="K87">
        <v>0</v>
      </c>
      <c r="L87">
        <v>0</v>
      </c>
      <c r="M87" t="s">
        <v>677</v>
      </c>
      <c r="O87">
        <v>5150</v>
      </c>
      <c r="P87">
        <v>263</v>
      </c>
      <c r="Q87">
        <v>0</v>
      </c>
    </row>
    <row r="88" spans="3:17" x14ac:dyDescent="0.3">
      <c r="C88" t="s">
        <v>823</v>
      </c>
      <c r="F88">
        <v>0</v>
      </c>
      <c r="H88" t="s">
        <v>821</v>
      </c>
      <c r="I88" t="s">
        <v>824</v>
      </c>
      <c r="J88">
        <v>3745</v>
      </c>
      <c r="K88">
        <v>252</v>
      </c>
      <c r="L88">
        <v>503</v>
      </c>
      <c r="M88" t="s">
        <v>677</v>
      </c>
      <c r="N88" t="s">
        <v>825</v>
      </c>
    </row>
    <row r="89" spans="3:17" x14ac:dyDescent="0.3">
      <c r="C89" t="s">
        <v>826</v>
      </c>
      <c r="F89">
        <v>37</v>
      </c>
      <c r="H89" t="s">
        <v>821</v>
      </c>
      <c r="I89" t="s">
        <v>827</v>
      </c>
      <c r="J89">
        <v>1000</v>
      </c>
      <c r="K89">
        <v>67</v>
      </c>
      <c r="L89">
        <v>16</v>
      </c>
      <c r="M89" t="s">
        <v>677</v>
      </c>
      <c r="O89">
        <v>200</v>
      </c>
      <c r="P89">
        <v>12</v>
      </c>
      <c r="Q89">
        <v>0</v>
      </c>
    </row>
    <row r="90" spans="3:17" x14ac:dyDescent="0.3">
      <c r="C90" t="s">
        <v>828</v>
      </c>
      <c r="F90">
        <v>11</v>
      </c>
      <c r="H90" t="s">
        <v>821</v>
      </c>
      <c r="I90" t="s">
        <v>829</v>
      </c>
      <c r="J90">
        <v>0</v>
      </c>
      <c r="K90">
        <v>0</v>
      </c>
      <c r="L90">
        <v>0</v>
      </c>
      <c r="M90" t="s">
        <v>677</v>
      </c>
      <c r="N90" t="s">
        <v>830</v>
      </c>
    </row>
    <row r="91" spans="3:17" x14ac:dyDescent="0.3">
      <c r="C91" t="s">
        <v>831</v>
      </c>
      <c r="F91">
        <v>35</v>
      </c>
      <c r="H91" t="s">
        <v>821</v>
      </c>
      <c r="I91" t="s">
        <v>832</v>
      </c>
      <c r="J91">
        <v>0</v>
      </c>
      <c r="K91">
        <v>0</v>
      </c>
      <c r="L91">
        <v>0</v>
      </c>
      <c r="M91" t="s">
        <v>677</v>
      </c>
      <c r="O91">
        <v>1333</v>
      </c>
      <c r="P91">
        <v>52</v>
      </c>
      <c r="Q91">
        <v>1</v>
      </c>
    </row>
    <row r="92" spans="3:17" x14ac:dyDescent="0.3">
      <c r="C92" t="s">
        <v>833</v>
      </c>
      <c r="F92">
        <v>946</v>
      </c>
      <c r="H92" t="s">
        <v>821</v>
      </c>
      <c r="I92" t="s">
        <v>834</v>
      </c>
      <c r="J92">
        <v>0</v>
      </c>
      <c r="K92">
        <v>0</v>
      </c>
      <c r="L92">
        <v>0</v>
      </c>
      <c r="M92" t="s">
        <v>677</v>
      </c>
      <c r="N92" t="s">
        <v>835</v>
      </c>
    </row>
    <row r="93" spans="3:17" x14ac:dyDescent="0.3">
      <c r="C93" t="s">
        <v>836</v>
      </c>
      <c r="F93">
        <v>0</v>
      </c>
      <c r="H93" t="s">
        <v>821</v>
      </c>
      <c r="I93" t="s">
        <v>837</v>
      </c>
      <c r="J93">
        <v>0</v>
      </c>
      <c r="K93">
        <v>0</v>
      </c>
      <c r="L93">
        <v>0</v>
      </c>
      <c r="M93" t="s">
        <v>677</v>
      </c>
      <c r="O93">
        <v>0</v>
      </c>
      <c r="P93">
        <v>0</v>
      </c>
      <c r="Q93">
        <v>0</v>
      </c>
    </row>
    <row r="94" spans="3:17" x14ac:dyDescent="0.3">
      <c r="C94" t="s">
        <v>838</v>
      </c>
      <c r="F94">
        <v>0</v>
      </c>
      <c r="H94" t="s">
        <v>821</v>
      </c>
      <c r="I94" t="s">
        <v>839</v>
      </c>
      <c r="J94">
        <v>0</v>
      </c>
      <c r="K94">
        <v>0</v>
      </c>
      <c r="L94">
        <v>0</v>
      </c>
      <c r="M94" t="s">
        <v>677</v>
      </c>
    </row>
    <row r="95" spans="3:17" x14ac:dyDescent="0.3">
      <c r="H95" t="s">
        <v>675</v>
      </c>
      <c r="I95" t="s">
        <v>840</v>
      </c>
      <c r="J95">
        <v>211</v>
      </c>
      <c r="K95">
        <v>14</v>
      </c>
      <c r="L95">
        <v>8</v>
      </c>
      <c r="M95" t="s">
        <v>677</v>
      </c>
      <c r="O95">
        <v>0</v>
      </c>
      <c r="P95">
        <v>0</v>
      </c>
      <c r="Q95">
        <v>0</v>
      </c>
    </row>
    <row r="96" spans="3:17" x14ac:dyDescent="0.3">
      <c r="C96" t="s">
        <v>841</v>
      </c>
      <c r="E96">
        <v>12</v>
      </c>
      <c r="H96" t="s">
        <v>743</v>
      </c>
      <c r="I96" t="s">
        <v>842</v>
      </c>
      <c r="J96">
        <v>0</v>
      </c>
      <c r="K96">
        <v>0</v>
      </c>
      <c r="L96">
        <v>0</v>
      </c>
      <c r="M96" t="s">
        <v>677</v>
      </c>
    </row>
    <row r="97" spans="3:17" x14ac:dyDescent="0.3">
      <c r="H97" t="s">
        <v>675</v>
      </c>
      <c r="I97" t="s">
        <v>843</v>
      </c>
      <c r="J97">
        <v>1282</v>
      </c>
      <c r="K97">
        <v>51</v>
      </c>
      <c r="L97">
        <v>51</v>
      </c>
      <c r="M97" t="s">
        <v>677</v>
      </c>
      <c r="O97">
        <v>0</v>
      </c>
      <c r="P97">
        <v>0</v>
      </c>
      <c r="Q97">
        <v>0</v>
      </c>
    </row>
    <row r="98" spans="3:17" x14ac:dyDescent="0.3">
      <c r="C98" t="s">
        <v>844</v>
      </c>
      <c r="E98">
        <v>115</v>
      </c>
      <c r="H98" t="s">
        <v>743</v>
      </c>
      <c r="I98" t="s">
        <v>845</v>
      </c>
      <c r="J98">
        <v>0</v>
      </c>
      <c r="K98">
        <v>0</v>
      </c>
      <c r="L98">
        <v>0</v>
      </c>
      <c r="M98" t="s">
        <v>677</v>
      </c>
    </row>
    <row r="99" spans="3:17" x14ac:dyDescent="0.3">
      <c r="H99" t="s">
        <v>675</v>
      </c>
      <c r="I99" t="s">
        <v>846</v>
      </c>
      <c r="J99">
        <v>0</v>
      </c>
      <c r="K99">
        <v>0</v>
      </c>
      <c r="L99">
        <v>0</v>
      </c>
      <c r="M99" t="s">
        <v>677</v>
      </c>
      <c r="O99">
        <v>0</v>
      </c>
      <c r="P99">
        <v>0</v>
      </c>
      <c r="Q99">
        <v>0</v>
      </c>
    </row>
    <row r="100" spans="3:17" x14ac:dyDescent="0.3">
      <c r="C100" t="s">
        <v>847</v>
      </c>
      <c r="E100">
        <v>0</v>
      </c>
      <c r="H100" t="s">
        <v>743</v>
      </c>
      <c r="I100" t="s">
        <v>848</v>
      </c>
      <c r="J100">
        <v>364</v>
      </c>
      <c r="K100">
        <v>14</v>
      </c>
      <c r="L100">
        <v>4</v>
      </c>
      <c r="M100" t="s">
        <v>677</v>
      </c>
    </row>
    <row r="101" spans="3:17" x14ac:dyDescent="0.3">
      <c r="C101" t="s">
        <v>849</v>
      </c>
      <c r="F101">
        <v>0</v>
      </c>
      <c r="H101" t="s">
        <v>821</v>
      </c>
      <c r="I101" t="s">
        <v>850</v>
      </c>
      <c r="J101">
        <v>0</v>
      </c>
      <c r="K101">
        <v>0</v>
      </c>
      <c r="L101">
        <v>0</v>
      </c>
      <c r="M101" t="s">
        <v>677</v>
      </c>
      <c r="O101">
        <v>0</v>
      </c>
      <c r="P101">
        <v>0</v>
      </c>
      <c r="Q101">
        <v>0</v>
      </c>
    </row>
    <row r="102" spans="3:17" x14ac:dyDescent="0.3">
      <c r="C102" t="s">
        <v>851</v>
      </c>
      <c r="F102">
        <v>0</v>
      </c>
      <c r="H102" t="s">
        <v>821</v>
      </c>
      <c r="I102" t="s">
        <v>852</v>
      </c>
      <c r="J102">
        <v>0</v>
      </c>
      <c r="K102">
        <v>0</v>
      </c>
      <c r="L102">
        <v>0</v>
      </c>
      <c r="M102" t="s">
        <v>677</v>
      </c>
    </row>
    <row r="103" spans="3:17" x14ac:dyDescent="0.3">
      <c r="C103" t="s">
        <v>853</v>
      </c>
      <c r="F103">
        <v>0</v>
      </c>
      <c r="H103" t="s">
        <v>821</v>
      </c>
      <c r="I103" t="s">
        <v>854</v>
      </c>
      <c r="J103">
        <v>0</v>
      </c>
      <c r="K103">
        <v>0</v>
      </c>
      <c r="L103">
        <v>0</v>
      </c>
      <c r="M103" t="s">
        <v>677</v>
      </c>
      <c r="O103">
        <v>0</v>
      </c>
      <c r="P103">
        <v>0</v>
      </c>
      <c r="Q103">
        <v>0</v>
      </c>
    </row>
    <row r="104" spans="3:17" x14ac:dyDescent="0.3">
      <c r="C104" t="s">
        <v>855</v>
      </c>
      <c r="F104">
        <v>0</v>
      </c>
      <c r="H104" t="s">
        <v>821</v>
      </c>
      <c r="I104" t="s">
        <v>856</v>
      </c>
      <c r="J104">
        <v>2136</v>
      </c>
      <c r="K104">
        <v>109</v>
      </c>
      <c r="L104">
        <v>29</v>
      </c>
    </row>
    <row r="105" spans="3:17" x14ac:dyDescent="0.3">
      <c r="C105" t="s">
        <v>641</v>
      </c>
      <c r="H105" t="s">
        <v>679</v>
      </c>
      <c r="I105" t="s">
        <v>857</v>
      </c>
      <c r="J105">
        <v>255</v>
      </c>
      <c r="K105">
        <v>13</v>
      </c>
      <c r="L105">
        <v>3</v>
      </c>
    </row>
    <row r="106" spans="3:17" x14ac:dyDescent="0.3">
      <c r="C106" t="s">
        <v>858</v>
      </c>
      <c r="E106">
        <v>0</v>
      </c>
      <c r="H106" t="s">
        <v>743</v>
      </c>
      <c r="I106" t="s">
        <v>859</v>
      </c>
      <c r="J106">
        <v>71</v>
      </c>
      <c r="K106">
        <v>4</v>
      </c>
      <c r="L106">
        <v>2</v>
      </c>
    </row>
    <row r="107" spans="3:17" x14ac:dyDescent="0.3">
      <c r="C107" t="s">
        <v>860</v>
      </c>
      <c r="H107" t="s">
        <v>821</v>
      </c>
      <c r="I107" t="s">
        <v>861</v>
      </c>
      <c r="J107">
        <v>366</v>
      </c>
      <c r="K107">
        <v>18</v>
      </c>
      <c r="L107">
        <v>8</v>
      </c>
    </row>
    <row r="108" spans="3:17" x14ac:dyDescent="0.3">
      <c r="C108" t="s">
        <v>862</v>
      </c>
      <c r="D108">
        <v>1156</v>
      </c>
      <c r="H108" t="s">
        <v>683</v>
      </c>
      <c r="I108" t="s">
        <v>863</v>
      </c>
      <c r="J108">
        <v>210</v>
      </c>
      <c r="K108">
        <v>14</v>
      </c>
      <c r="L108">
        <v>2</v>
      </c>
    </row>
    <row r="109" spans="3:17" x14ac:dyDescent="0.3">
      <c r="C109" t="s">
        <v>860</v>
      </c>
    </row>
    <row r="110" spans="3:17" x14ac:dyDescent="0.3">
      <c r="C110" t="s">
        <v>864</v>
      </c>
      <c r="D110">
        <v>4255</v>
      </c>
      <c r="H110" t="s">
        <v>683</v>
      </c>
      <c r="I110" t="s">
        <v>865</v>
      </c>
      <c r="J110">
        <v>0</v>
      </c>
      <c r="K110">
        <v>0</v>
      </c>
      <c r="L110">
        <v>0</v>
      </c>
    </row>
    <row r="111" spans="3:17" x14ac:dyDescent="0.3">
      <c r="C111" t="s">
        <v>860</v>
      </c>
      <c r="H111" t="s">
        <v>821</v>
      </c>
      <c r="I111" t="s">
        <v>866</v>
      </c>
      <c r="J111">
        <v>0</v>
      </c>
      <c r="K111">
        <v>0</v>
      </c>
      <c r="L111">
        <v>0</v>
      </c>
    </row>
    <row r="112" spans="3:17" x14ac:dyDescent="0.3">
      <c r="C112" t="s">
        <v>867</v>
      </c>
      <c r="D112">
        <v>18238</v>
      </c>
      <c r="H112" t="s">
        <v>683</v>
      </c>
      <c r="I112" t="s">
        <v>868</v>
      </c>
      <c r="J112">
        <v>0</v>
      </c>
      <c r="K112">
        <v>0</v>
      </c>
      <c r="L112">
        <v>0</v>
      </c>
    </row>
    <row r="113" spans="3:157" x14ac:dyDescent="0.3">
      <c r="C113" t="s">
        <v>860</v>
      </c>
      <c r="H113" t="s">
        <v>821</v>
      </c>
      <c r="I113" t="s">
        <v>869</v>
      </c>
      <c r="J113">
        <v>0</v>
      </c>
      <c r="K113">
        <v>0</v>
      </c>
      <c r="L113">
        <v>0</v>
      </c>
    </row>
    <row r="114" spans="3:157" x14ac:dyDescent="0.3">
      <c r="C114" t="s">
        <v>870</v>
      </c>
      <c r="D114">
        <v>23649</v>
      </c>
      <c r="H114" t="s">
        <v>683</v>
      </c>
      <c r="I114" t="s">
        <v>871</v>
      </c>
      <c r="J114">
        <v>0</v>
      </c>
      <c r="K114">
        <v>0</v>
      </c>
      <c r="L114">
        <v>0</v>
      </c>
    </row>
    <row r="115" spans="3:157" x14ac:dyDescent="0.3">
      <c r="H115" t="s">
        <v>675</v>
      </c>
      <c r="I115" t="s">
        <v>872</v>
      </c>
      <c r="J115">
        <v>0</v>
      </c>
      <c r="K115">
        <v>0</v>
      </c>
      <c r="L115">
        <v>0</v>
      </c>
    </row>
    <row r="116" spans="3:157" x14ac:dyDescent="0.3">
      <c r="H116" t="s">
        <v>675</v>
      </c>
      <c r="I116" t="s">
        <v>873</v>
      </c>
      <c r="J116">
        <v>0</v>
      </c>
      <c r="K116">
        <v>0</v>
      </c>
      <c r="L116">
        <v>0</v>
      </c>
    </row>
    <row r="117" spans="3:157" x14ac:dyDescent="0.3">
      <c r="H117" t="s">
        <v>675</v>
      </c>
      <c r="I117" t="s">
        <v>874</v>
      </c>
      <c r="J117">
        <v>0</v>
      </c>
      <c r="K117">
        <v>0</v>
      </c>
      <c r="L117">
        <v>0</v>
      </c>
    </row>
    <row r="118" spans="3:157" x14ac:dyDescent="0.3">
      <c r="H118" t="s">
        <v>675</v>
      </c>
      <c r="I118" t="s">
        <v>875</v>
      </c>
      <c r="J118">
        <v>0</v>
      </c>
      <c r="K118">
        <v>0</v>
      </c>
      <c r="L118">
        <v>0</v>
      </c>
    </row>
    <row r="119" spans="3:157" x14ac:dyDescent="0.3">
      <c r="H119" t="s">
        <v>675</v>
      </c>
      <c r="I119" t="s">
        <v>876</v>
      </c>
      <c r="J119">
        <v>0</v>
      </c>
      <c r="K119">
        <v>0</v>
      </c>
      <c r="L119">
        <v>0</v>
      </c>
    </row>
    <row r="120" spans="3:157" x14ac:dyDescent="0.3">
      <c r="H120" t="s">
        <v>675</v>
      </c>
      <c r="I120" t="s">
        <v>877</v>
      </c>
      <c r="J120">
        <v>0</v>
      </c>
      <c r="K120">
        <v>0</v>
      </c>
      <c r="L120">
        <v>0</v>
      </c>
    </row>
    <row r="127" spans="3:157" x14ac:dyDescent="0.3">
      <c r="C127" t="s">
        <v>878</v>
      </c>
      <c r="D127" t="s">
        <v>879</v>
      </c>
      <c r="E127" t="s">
        <v>880</v>
      </c>
      <c r="F127" t="s">
        <v>881</v>
      </c>
      <c r="G127" t="s">
        <v>882</v>
      </c>
      <c r="H127" t="s">
        <v>883</v>
      </c>
      <c r="I127" t="s">
        <v>884</v>
      </c>
      <c r="J127" t="s">
        <v>885</v>
      </c>
      <c r="K127" t="s">
        <v>886</v>
      </c>
      <c r="L127" t="s">
        <v>887</v>
      </c>
      <c r="M127" t="s">
        <v>888</v>
      </c>
      <c r="N127" t="s">
        <v>889</v>
      </c>
      <c r="O127" t="s">
        <v>890</v>
      </c>
      <c r="P127" t="s">
        <v>890</v>
      </c>
      <c r="Q127" t="s">
        <v>890</v>
      </c>
      <c r="R127" t="s">
        <v>891</v>
      </c>
      <c r="S127" t="s">
        <v>891</v>
      </c>
      <c r="T127" t="s">
        <v>891</v>
      </c>
      <c r="U127" t="s">
        <v>891</v>
      </c>
      <c r="V127" t="s">
        <v>891</v>
      </c>
      <c r="W127" t="s">
        <v>892</v>
      </c>
      <c r="X127" t="s">
        <v>893</v>
      </c>
      <c r="Y127" t="s">
        <v>894</v>
      </c>
      <c r="Z127" t="s">
        <v>895</v>
      </c>
      <c r="AA127" t="s">
        <v>896</v>
      </c>
      <c r="AB127" t="s">
        <v>897</v>
      </c>
      <c r="AC127" t="s">
        <v>898</v>
      </c>
      <c r="AD127" t="s">
        <v>899</v>
      </c>
      <c r="AE127" t="s">
        <v>900</v>
      </c>
      <c r="AF127" t="s">
        <v>900</v>
      </c>
      <c r="AG127" t="s">
        <v>900</v>
      </c>
      <c r="AH127" t="s">
        <v>901</v>
      </c>
      <c r="AI127" t="s">
        <v>902</v>
      </c>
      <c r="AJ127" t="s">
        <v>903</v>
      </c>
      <c r="AK127" t="s">
        <v>904</v>
      </c>
      <c r="AL127" t="s">
        <v>905</v>
      </c>
      <c r="AM127" t="s">
        <v>906</v>
      </c>
      <c r="AN127" t="s">
        <v>907</v>
      </c>
      <c r="AO127" t="s">
        <v>908</v>
      </c>
      <c r="AP127" t="s">
        <v>909</v>
      </c>
      <c r="AQ127" t="s">
        <v>910</v>
      </c>
      <c r="AR127" t="s">
        <v>911</v>
      </c>
      <c r="AS127" t="s">
        <v>912</v>
      </c>
      <c r="AT127" t="s">
        <v>912</v>
      </c>
      <c r="AU127" t="s">
        <v>912</v>
      </c>
      <c r="AV127" t="s">
        <v>913</v>
      </c>
      <c r="AW127" t="s">
        <v>914</v>
      </c>
      <c r="AX127" t="s">
        <v>915</v>
      </c>
      <c r="AY127" t="s">
        <v>916</v>
      </c>
      <c r="AZ127" t="s">
        <v>917</v>
      </c>
      <c r="BA127" t="s">
        <v>918</v>
      </c>
      <c r="BB127" t="s">
        <v>919</v>
      </c>
      <c r="BC127" t="s">
        <v>920</v>
      </c>
      <c r="BD127" t="s">
        <v>921</v>
      </c>
      <c r="BE127" t="s">
        <v>922</v>
      </c>
      <c r="BF127" t="s">
        <v>923</v>
      </c>
      <c r="BG127" t="s">
        <v>924</v>
      </c>
      <c r="BH127" t="s">
        <v>925</v>
      </c>
      <c r="BI127" t="s">
        <v>926</v>
      </c>
      <c r="BJ127" t="s">
        <v>927</v>
      </c>
      <c r="BK127" t="s">
        <v>928</v>
      </c>
      <c r="BL127" t="s">
        <v>929</v>
      </c>
      <c r="BM127" t="s">
        <v>930</v>
      </c>
      <c r="BN127" t="s">
        <v>931</v>
      </c>
      <c r="BO127" t="s">
        <v>932</v>
      </c>
      <c r="BP127" t="s">
        <v>933</v>
      </c>
      <c r="BQ127" t="s">
        <v>934</v>
      </c>
      <c r="BR127" t="s">
        <v>935</v>
      </c>
      <c r="BS127" t="s">
        <v>936</v>
      </c>
      <c r="BT127" t="s">
        <v>937</v>
      </c>
      <c r="BU127" t="s">
        <v>938</v>
      </c>
      <c r="BV127" t="s">
        <v>905</v>
      </c>
      <c r="BW127" t="s">
        <v>939</v>
      </c>
      <c r="BX127" t="s">
        <v>917</v>
      </c>
      <c r="BY127" t="s">
        <v>940</v>
      </c>
      <c r="BZ127" t="s">
        <v>941</v>
      </c>
      <c r="CA127" t="s">
        <v>941</v>
      </c>
      <c r="CB127" t="s">
        <v>941</v>
      </c>
      <c r="CC127" t="s">
        <v>941</v>
      </c>
      <c r="CD127" t="s">
        <v>942</v>
      </c>
      <c r="CE127" t="s">
        <v>942</v>
      </c>
      <c r="CF127" t="s">
        <v>943</v>
      </c>
      <c r="CG127" t="s">
        <v>944</v>
      </c>
      <c r="CH127" t="s">
        <v>943</v>
      </c>
      <c r="CI127" t="s">
        <v>944</v>
      </c>
      <c r="CJ127" t="s">
        <v>945</v>
      </c>
      <c r="CK127" t="s">
        <v>946</v>
      </c>
      <c r="CL127" t="s">
        <v>947</v>
      </c>
      <c r="CM127" t="s">
        <v>948</v>
      </c>
      <c r="CN127" t="s">
        <v>949</v>
      </c>
      <c r="CO127" t="s">
        <v>949</v>
      </c>
      <c r="CP127" t="s">
        <v>949</v>
      </c>
      <c r="CQ127" t="s">
        <v>950</v>
      </c>
      <c r="CR127" t="s">
        <v>951</v>
      </c>
      <c r="CS127" t="s">
        <v>952</v>
      </c>
      <c r="CT127" t="s">
        <v>953</v>
      </c>
      <c r="CU127" t="s">
        <v>954</v>
      </c>
      <c r="CV127" t="s">
        <v>955</v>
      </c>
      <c r="CW127" t="s">
        <v>956</v>
      </c>
      <c r="CX127" t="s">
        <v>957</v>
      </c>
      <c r="CY127" t="s">
        <v>958</v>
      </c>
      <c r="CZ127" t="s">
        <v>959</v>
      </c>
      <c r="DA127" t="s">
        <v>960</v>
      </c>
      <c r="DB127" t="s">
        <v>961</v>
      </c>
      <c r="DC127" t="s">
        <v>961</v>
      </c>
      <c r="DD127" t="s">
        <v>962</v>
      </c>
      <c r="DE127" t="s">
        <v>963</v>
      </c>
      <c r="DF127" t="s">
        <v>964</v>
      </c>
      <c r="DG127" t="s">
        <v>957</v>
      </c>
      <c r="DH127" t="s">
        <v>958</v>
      </c>
      <c r="DI127" t="s">
        <v>965</v>
      </c>
      <c r="DJ127" t="s">
        <v>966</v>
      </c>
      <c r="DK127" t="s">
        <v>967</v>
      </c>
      <c r="DL127" t="s">
        <v>968</v>
      </c>
      <c r="DM127" t="s">
        <v>926</v>
      </c>
      <c r="DN127" t="s">
        <v>969</v>
      </c>
      <c r="DO127" t="s">
        <v>970</v>
      </c>
      <c r="DP127" t="s">
        <v>971</v>
      </c>
      <c r="DQ127" t="s">
        <v>972</v>
      </c>
      <c r="DR127" t="s">
        <v>973</v>
      </c>
      <c r="DS127" t="s">
        <v>974</v>
      </c>
      <c r="DT127" t="s">
        <v>975</v>
      </c>
      <c r="DU127" t="s">
        <v>976</v>
      </c>
      <c r="DV127" t="s">
        <v>977</v>
      </c>
      <c r="DW127" t="s">
        <v>978</v>
      </c>
      <c r="DX127" t="s">
        <v>978</v>
      </c>
      <c r="DY127" t="s">
        <v>979</v>
      </c>
      <c r="DZ127" t="s">
        <v>957</v>
      </c>
      <c r="EA127" t="s">
        <v>958</v>
      </c>
      <c r="EB127" t="s">
        <v>980</v>
      </c>
      <c r="EC127" t="s">
        <v>980</v>
      </c>
      <c r="ED127" t="s">
        <v>981</v>
      </c>
      <c r="EE127" t="s">
        <v>982</v>
      </c>
      <c r="EF127" t="s">
        <v>982</v>
      </c>
      <c r="EG127" t="s">
        <v>983</v>
      </c>
      <c r="EH127" t="s">
        <v>984</v>
      </c>
      <c r="EI127" t="s">
        <v>985</v>
      </c>
      <c r="EJ127" t="s">
        <v>986</v>
      </c>
      <c r="EK127" t="s">
        <v>987</v>
      </c>
      <c r="EL127" t="s">
        <v>988</v>
      </c>
      <c r="EM127" t="s">
        <v>989</v>
      </c>
      <c r="EN127" t="s">
        <v>990</v>
      </c>
      <c r="EO127" t="s">
        <v>987</v>
      </c>
      <c r="EP127" t="s">
        <v>988</v>
      </c>
      <c r="EQ127" t="s">
        <v>989</v>
      </c>
      <c r="ER127" t="s">
        <v>991</v>
      </c>
      <c r="ES127" t="s">
        <v>991</v>
      </c>
      <c r="ET127" t="s">
        <v>991</v>
      </c>
      <c r="EU127" t="s">
        <v>991</v>
      </c>
      <c r="EV127" t="s">
        <v>992</v>
      </c>
      <c r="EW127" t="s">
        <v>993</v>
      </c>
      <c r="EX127" t="s">
        <v>993</v>
      </c>
      <c r="EY127" t="s">
        <v>993</v>
      </c>
      <c r="EZ127" t="s">
        <v>993</v>
      </c>
      <c r="FA127" t="s">
        <v>993</v>
      </c>
    </row>
    <row r="128" spans="3:157" x14ac:dyDescent="0.3">
      <c r="C128" t="s">
        <v>878</v>
      </c>
      <c r="D128" t="s">
        <v>994</v>
      </c>
      <c r="E128" t="s">
        <v>995</v>
      </c>
      <c r="F128" t="s">
        <v>996</v>
      </c>
      <c r="G128" t="s">
        <v>994</v>
      </c>
      <c r="H128" t="s">
        <v>997</v>
      </c>
      <c r="I128" t="s">
        <v>997</v>
      </c>
      <c r="J128" t="s">
        <v>997</v>
      </c>
      <c r="K128" t="s">
        <v>997</v>
      </c>
      <c r="L128" t="s">
        <v>997</v>
      </c>
      <c r="M128" t="s">
        <v>997</v>
      </c>
      <c r="N128" t="s">
        <v>997</v>
      </c>
      <c r="O128" t="s">
        <v>997</v>
      </c>
      <c r="P128" t="s">
        <v>998</v>
      </c>
      <c r="Q128" t="s">
        <v>999</v>
      </c>
      <c r="R128" t="s">
        <v>997</v>
      </c>
      <c r="S128" t="s">
        <v>1000</v>
      </c>
      <c r="T128" t="s">
        <v>1001</v>
      </c>
      <c r="U128" t="s">
        <v>1002</v>
      </c>
      <c r="V128" t="s">
        <v>1003</v>
      </c>
      <c r="W128" t="s">
        <v>1004</v>
      </c>
      <c r="X128" t="s">
        <v>1004</v>
      </c>
      <c r="Y128" t="s">
        <v>1004</v>
      </c>
      <c r="Z128" t="s">
        <v>1004</v>
      </c>
      <c r="AA128" t="s">
        <v>1005</v>
      </c>
      <c r="AB128" t="s">
        <v>1004</v>
      </c>
      <c r="AC128" t="s">
        <v>1004</v>
      </c>
      <c r="AD128" t="s">
        <v>1004</v>
      </c>
      <c r="AE128" t="s">
        <v>1004</v>
      </c>
      <c r="AF128" t="s">
        <v>1006</v>
      </c>
      <c r="AG128" t="s">
        <v>978</v>
      </c>
      <c r="AH128" t="s">
        <v>1004</v>
      </c>
      <c r="AI128" t="s">
        <v>1004</v>
      </c>
      <c r="AJ128" t="s">
        <v>1004</v>
      </c>
      <c r="AK128" t="s">
        <v>1004</v>
      </c>
      <c r="AL128" t="s">
        <v>1004</v>
      </c>
      <c r="AM128" t="s">
        <v>1004</v>
      </c>
      <c r="AN128" t="s">
        <v>1004</v>
      </c>
      <c r="AO128" t="s">
        <v>1004</v>
      </c>
      <c r="AP128" t="s">
        <v>1004</v>
      </c>
      <c r="AQ128" t="s">
        <v>1004</v>
      </c>
      <c r="AR128" t="s">
        <v>1004</v>
      </c>
      <c r="AS128" t="s">
        <v>1004</v>
      </c>
      <c r="AT128" t="s">
        <v>1006</v>
      </c>
      <c r="AU128" t="s">
        <v>978</v>
      </c>
      <c r="AV128" t="s">
        <v>1004</v>
      </c>
      <c r="AW128" t="s">
        <v>1004</v>
      </c>
      <c r="AX128" t="s">
        <v>1004</v>
      </c>
      <c r="AY128" t="s">
        <v>1004</v>
      </c>
      <c r="AZ128" t="s">
        <v>1004</v>
      </c>
      <c r="BA128" t="s">
        <v>1007</v>
      </c>
      <c r="BB128" t="s">
        <v>1004</v>
      </c>
      <c r="BC128" t="s">
        <v>1004</v>
      </c>
      <c r="BD128" t="s">
        <v>1004</v>
      </c>
      <c r="BE128" t="s">
        <v>997</v>
      </c>
      <c r="BF128" t="s">
        <v>997</v>
      </c>
      <c r="BG128" t="s">
        <v>997</v>
      </c>
      <c r="BH128" t="s">
        <v>997</v>
      </c>
      <c r="BI128" t="s">
        <v>997</v>
      </c>
      <c r="BJ128" t="s">
        <v>997</v>
      </c>
      <c r="BK128" t="s">
        <v>997</v>
      </c>
      <c r="BL128" t="s">
        <v>997</v>
      </c>
      <c r="BM128" t="s">
        <v>997</v>
      </c>
      <c r="BN128" t="s">
        <v>997</v>
      </c>
      <c r="BO128" t="s">
        <v>978</v>
      </c>
      <c r="BP128" t="s">
        <v>997</v>
      </c>
      <c r="BQ128" t="s">
        <v>997</v>
      </c>
      <c r="BR128" t="s">
        <v>978</v>
      </c>
      <c r="BS128" t="s">
        <v>997</v>
      </c>
      <c r="BT128" t="s">
        <v>1006</v>
      </c>
      <c r="BU128" t="s">
        <v>998</v>
      </c>
      <c r="BV128" t="s">
        <v>997</v>
      </c>
      <c r="BW128" t="s">
        <v>1008</v>
      </c>
      <c r="BX128" t="s">
        <v>997</v>
      </c>
      <c r="BY128" t="s">
        <v>1009</v>
      </c>
      <c r="BZ128" t="s">
        <v>972</v>
      </c>
      <c r="CA128" t="s">
        <v>1010</v>
      </c>
      <c r="CB128" t="s">
        <v>1011</v>
      </c>
      <c r="CC128" t="s">
        <v>998</v>
      </c>
      <c r="CD128" t="s">
        <v>997</v>
      </c>
      <c r="CE128" t="s">
        <v>998</v>
      </c>
      <c r="CF128" t="s">
        <v>997</v>
      </c>
      <c r="CG128" t="s">
        <v>997</v>
      </c>
      <c r="CH128" t="s">
        <v>1012</v>
      </c>
      <c r="CI128" t="s">
        <v>1013</v>
      </c>
      <c r="CJ128" t="s">
        <v>997</v>
      </c>
      <c r="CK128" t="s">
        <v>997</v>
      </c>
      <c r="CL128" t="s">
        <v>997</v>
      </c>
      <c r="CM128" t="s">
        <v>997</v>
      </c>
      <c r="CN128" t="s">
        <v>997</v>
      </c>
      <c r="CO128" t="s">
        <v>998</v>
      </c>
      <c r="CP128" t="s">
        <v>1014</v>
      </c>
      <c r="CQ128" t="s">
        <v>1004</v>
      </c>
      <c r="CR128" t="s">
        <v>1004</v>
      </c>
      <c r="CS128" t="s">
        <v>1004</v>
      </c>
      <c r="CT128" t="s">
        <v>1004</v>
      </c>
      <c r="CU128" t="s">
        <v>1004</v>
      </c>
      <c r="CV128" t="s">
        <v>1004</v>
      </c>
      <c r="CW128" t="s">
        <v>1015</v>
      </c>
      <c r="CX128" t="s">
        <v>997</v>
      </c>
      <c r="CY128" t="s">
        <v>997</v>
      </c>
      <c r="CZ128" t="s">
        <v>997</v>
      </c>
      <c r="DA128" t="s">
        <v>997</v>
      </c>
      <c r="DB128" t="s">
        <v>1014</v>
      </c>
      <c r="DC128" t="s">
        <v>1016</v>
      </c>
      <c r="DD128" t="s">
        <v>1014</v>
      </c>
      <c r="DE128" t="s">
        <v>1014</v>
      </c>
      <c r="DF128" t="s">
        <v>1014</v>
      </c>
      <c r="DG128" t="s">
        <v>1017</v>
      </c>
      <c r="DH128" t="s">
        <v>1017</v>
      </c>
      <c r="DI128" t="s">
        <v>1017</v>
      </c>
      <c r="DJ128" t="s">
        <v>1017</v>
      </c>
      <c r="DK128" t="s">
        <v>635</v>
      </c>
      <c r="DL128" t="s">
        <v>635</v>
      </c>
      <c r="DM128" t="s">
        <v>1018</v>
      </c>
      <c r="DN128" t="s">
        <v>1019</v>
      </c>
      <c r="DO128" t="s">
        <v>635</v>
      </c>
      <c r="DP128" t="s">
        <v>1020</v>
      </c>
      <c r="DQ128" t="s">
        <v>1021</v>
      </c>
      <c r="DR128" t="s">
        <v>635</v>
      </c>
      <c r="DS128" t="s">
        <v>635</v>
      </c>
      <c r="DT128" t="s">
        <v>635</v>
      </c>
      <c r="DU128" t="s">
        <v>635</v>
      </c>
      <c r="DV128" t="s">
        <v>635</v>
      </c>
      <c r="DW128" t="s">
        <v>635</v>
      </c>
      <c r="DX128" t="s">
        <v>1022</v>
      </c>
      <c r="DY128" t="s">
        <v>635</v>
      </c>
      <c r="DZ128" t="s">
        <v>1023</v>
      </c>
      <c r="EA128" t="s">
        <v>1023</v>
      </c>
      <c r="EB128" t="s">
        <v>972</v>
      </c>
      <c r="EC128" t="s">
        <v>998</v>
      </c>
      <c r="ED128" t="s">
        <v>972</v>
      </c>
      <c r="EE128" t="s">
        <v>1024</v>
      </c>
      <c r="EF128" t="s">
        <v>998</v>
      </c>
      <c r="EG128" t="s">
        <v>997</v>
      </c>
      <c r="EH128" t="s">
        <v>997</v>
      </c>
      <c r="EI128" t="s">
        <v>997</v>
      </c>
      <c r="EJ128" t="s">
        <v>997</v>
      </c>
      <c r="EK128" t="s">
        <v>972</v>
      </c>
      <c r="EL128" t="s">
        <v>972</v>
      </c>
      <c r="EM128" t="s">
        <v>972</v>
      </c>
      <c r="EN128" t="s">
        <v>972</v>
      </c>
      <c r="EO128" t="s">
        <v>1025</v>
      </c>
      <c r="EP128" t="s">
        <v>1025</v>
      </c>
      <c r="EQ128" t="s">
        <v>1025</v>
      </c>
      <c r="ER128" t="s">
        <v>1026</v>
      </c>
      <c r="ES128" t="s">
        <v>1027</v>
      </c>
      <c r="ET128" t="s">
        <v>1028</v>
      </c>
      <c r="EU128" t="s">
        <v>997</v>
      </c>
      <c r="EV128" t="s">
        <v>978</v>
      </c>
      <c r="EW128" t="s">
        <v>1029</v>
      </c>
      <c r="EX128" t="s">
        <v>1030</v>
      </c>
      <c r="EY128" t="s">
        <v>1031</v>
      </c>
      <c r="EZ128" t="s">
        <v>1032</v>
      </c>
      <c r="FA128" t="s">
        <v>1033</v>
      </c>
    </row>
    <row r="130" spans="3:157" x14ac:dyDescent="0.3">
      <c r="C130" t="s">
        <v>1034</v>
      </c>
    </row>
    <row r="131" spans="3:157" x14ac:dyDescent="0.3">
      <c r="C131" t="s">
        <v>1035</v>
      </c>
      <c r="D131" t="s">
        <v>1036</v>
      </c>
      <c r="E131" t="s">
        <v>1037</v>
      </c>
      <c r="F131" t="s">
        <v>681</v>
      </c>
      <c r="G131" t="s">
        <v>1038</v>
      </c>
      <c r="H131" t="s">
        <v>1039</v>
      </c>
      <c r="I131" t="s">
        <v>1040</v>
      </c>
      <c r="J131" t="s">
        <v>1041</v>
      </c>
      <c r="K131" t="s">
        <v>681</v>
      </c>
      <c r="L131" t="s">
        <v>681</v>
      </c>
      <c r="M131" t="s">
        <v>1042</v>
      </c>
      <c r="N131" t="s">
        <v>681</v>
      </c>
      <c r="O131" t="s">
        <v>681</v>
      </c>
      <c r="P131" t="s">
        <v>681</v>
      </c>
      <c r="Q131" t="s">
        <v>681</v>
      </c>
      <c r="R131" t="s">
        <v>681</v>
      </c>
      <c r="S131" t="s">
        <v>681</v>
      </c>
      <c r="T131" t="s">
        <v>681</v>
      </c>
      <c r="U131" t="s">
        <v>681</v>
      </c>
      <c r="V131" t="s">
        <v>681</v>
      </c>
      <c r="W131" t="s">
        <v>1043</v>
      </c>
      <c r="X131" t="s">
        <v>681</v>
      </c>
      <c r="Y131" t="s">
        <v>681</v>
      </c>
      <c r="Z131" t="s">
        <v>681</v>
      </c>
      <c r="AA131" t="s">
        <v>681</v>
      </c>
      <c r="AB131" t="s">
        <v>681</v>
      </c>
      <c r="AC131" t="s">
        <v>1044</v>
      </c>
      <c r="AD131" t="s">
        <v>1045</v>
      </c>
      <c r="AE131" t="s">
        <v>681</v>
      </c>
      <c r="AF131" t="s">
        <v>681</v>
      </c>
      <c r="AG131" t="s">
        <v>681</v>
      </c>
      <c r="AH131" t="s">
        <v>1046</v>
      </c>
      <c r="AI131" t="s">
        <v>1047</v>
      </c>
      <c r="AJ131" t="s">
        <v>692</v>
      </c>
      <c r="AK131" t="s">
        <v>1048</v>
      </c>
      <c r="AL131" t="s">
        <v>681</v>
      </c>
      <c r="AM131" t="s">
        <v>1049</v>
      </c>
      <c r="AN131" t="s">
        <v>681</v>
      </c>
      <c r="AO131" t="s">
        <v>681</v>
      </c>
      <c r="AP131" t="s">
        <v>1050</v>
      </c>
      <c r="AQ131" t="s">
        <v>1051</v>
      </c>
      <c r="AR131" t="s">
        <v>1052</v>
      </c>
      <c r="AS131" t="s">
        <v>681</v>
      </c>
      <c r="AT131" t="s">
        <v>681</v>
      </c>
      <c r="AU131" t="s">
        <v>681</v>
      </c>
      <c r="AV131" t="s">
        <v>1053</v>
      </c>
      <c r="AW131" t="s">
        <v>1054</v>
      </c>
      <c r="AX131" t="s">
        <v>693</v>
      </c>
      <c r="AY131" t="s">
        <v>1055</v>
      </c>
      <c r="AZ131" t="s">
        <v>681</v>
      </c>
      <c r="BA131" t="s">
        <v>1056</v>
      </c>
      <c r="BB131" t="s">
        <v>681</v>
      </c>
      <c r="BC131" t="s">
        <v>1057</v>
      </c>
      <c r="BD131" t="s">
        <v>1058</v>
      </c>
      <c r="BE131" t="s">
        <v>1059</v>
      </c>
      <c r="BF131" t="s">
        <v>1060</v>
      </c>
      <c r="BG131" t="s">
        <v>1061</v>
      </c>
      <c r="BH131" t="s">
        <v>1062</v>
      </c>
      <c r="BI131" t="s">
        <v>1063</v>
      </c>
      <c r="BJ131" t="s">
        <v>1064</v>
      </c>
      <c r="BK131" t="s">
        <v>1065</v>
      </c>
      <c r="BL131" t="s">
        <v>681</v>
      </c>
      <c r="BM131" t="s">
        <v>1066</v>
      </c>
      <c r="BN131" t="s">
        <v>1066</v>
      </c>
      <c r="BO131" t="s">
        <v>681</v>
      </c>
      <c r="BP131" t="s">
        <v>681</v>
      </c>
      <c r="BQ131" t="s">
        <v>681</v>
      </c>
      <c r="BR131" t="s">
        <v>681</v>
      </c>
      <c r="BS131" t="s">
        <v>681</v>
      </c>
      <c r="BT131" t="s">
        <v>681</v>
      </c>
      <c r="BU131" t="s">
        <v>681</v>
      </c>
      <c r="BV131" t="s">
        <v>681</v>
      </c>
      <c r="BW131" t="s">
        <v>681</v>
      </c>
      <c r="BX131" t="s">
        <v>681</v>
      </c>
      <c r="BY131" t="s">
        <v>681</v>
      </c>
      <c r="BZ131" t="s">
        <v>1067</v>
      </c>
      <c r="CA131" t="s">
        <v>1068</v>
      </c>
      <c r="CB131" t="s">
        <v>1069</v>
      </c>
      <c r="CC131" t="s">
        <v>681</v>
      </c>
      <c r="CD131" t="s">
        <v>1070</v>
      </c>
      <c r="CE131" t="s">
        <v>681</v>
      </c>
      <c r="CF131" t="s">
        <v>1071</v>
      </c>
      <c r="CG131" t="s">
        <v>1072</v>
      </c>
      <c r="CH131" t="s">
        <v>1073</v>
      </c>
      <c r="CI131" t="s">
        <v>1074</v>
      </c>
      <c r="CJ131" t="s">
        <v>681</v>
      </c>
      <c r="CK131" t="s">
        <v>1075</v>
      </c>
      <c r="CL131" t="s">
        <v>681</v>
      </c>
      <c r="CM131" t="s">
        <v>681</v>
      </c>
      <c r="CN131" t="s">
        <v>681</v>
      </c>
      <c r="CO131" t="s">
        <v>681</v>
      </c>
      <c r="CP131" t="s">
        <v>681</v>
      </c>
      <c r="CQ131" t="s">
        <v>1076</v>
      </c>
      <c r="CR131" t="s">
        <v>1077</v>
      </c>
      <c r="CS131" t="s">
        <v>681</v>
      </c>
      <c r="CT131" t="s">
        <v>1043</v>
      </c>
      <c r="CU131" t="s">
        <v>681</v>
      </c>
      <c r="CV131" t="s">
        <v>681</v>
      </c>
      <c r="CW131" t="s">
        <v>1078</v>
      </c>
      <c r="CX131" t="s">
        <v>681</v>
      </c>
      <c r="CY131" t="s">
        <v>681</v>
      </c>
      <c r="CZ131" t="s">
        <v>681</v>
      </c>
      <c r="DA131" t="s">
        <v>681</v>
      </c>
      <c r="DB131" t="s">
        <v>1079</v>
      </c>
      <c r="DC131" t="s">
        <v>681</v>
      </c>
      <c r="DD131" t="s">
        <v>681</v>
      </c>
      <c r="DE131" t="s">
        <v>1079</v>
      </c>
      <c r="DF131" t="s">
        <v>681</v>
      </c>
      <c r="DG131">
        <v>0</v>
      </c>
      <c r="DH131">
        <v>0</v>
      </c>
      <c r="DI131">
        <v>0</v>
      </c>
      <c r="DJ131">
        <v>0</v>
      </c>
      <c r="DK131" t="s">
        <v>1080</v>
      </c>
      <c r="DL131" t="s">
        <v>1081</v>
      </c>
      <c r="DM131" t="s">
        <v>694</v>
      </c>
      <c r="DN131" t="s">
        <v>681</v>
      </c>
      <c r="DO131" t="s">
        <v>681</v>
      </c>
      <c r="DP131" t="s">
        <v>696</v>
      </c>
      <c r="DQ131" t="s">
        <v>1082</v>
      </c>
      <c r="DR131" t="s">
        <v>1083</v>
      </c>
      <c r="DS131" t="s">
        <v>681</v>
      </c>
      <c r="DT131" t="s">
        <v>681</v>
      </c>
      <c r="DU131" t="s">
        <v>681</v>
      </c>
      <c r="DV131" t="s">
        <v>681</v>
      </c>
      <c r="DW131" t="s">
        <v>681</v>
      </c>
      <c r="DX131" t="s">
        <v>1084</v>
      </c>
      <c r="DY131" t="s">
        <v>692</v>
      </c>
      <c r="DZ131" t="s">
        <v>1085</v>
      </c>
      <c r="EA131" t="s">
        <v>1086</v>
      </c>
      <c r="EB131" t="s">
        <v>681</v>
      </c>
      <c r="EC131" t="s">
        <v>681</v>
      </c>
      <c r="ED131" t="s">
        <v>681</v>
      </c>
      <c r="EE131" t="s">
        <v>681</v>
      </c>
      <c r="EF131" t="s">
        <v>681</v>
      </c>
      <c r="EG131" t="s">
        <v>681</v>
      </c>
      <c r="EH131" t="s">
        <v>681</v>
      </c>
      <c r="EI131" t="s">
        <v>681</v>
      </c>
      <c r="EJ131" t="s">
        <v>681</v>
      </c>
      <c r="EK131" t="s">
        <v>681</v>
      </c>
      <c r="EL131" t="s">
        <v>681</v>
      </c>
      <c r="EM131" t="s">
        <v>681</v>
      </c>
      <c r="EN131" t="s">
        <v>1087</v>
      </c>
      <c r="EO131" t="s">
        <v>681</v>
      </c>
      <c r="EP131" t="s">
        <v>681</v>
      </c>
      <c r="EQ131" t="s">
        <v>681</v>
      </c>
      <c r="ER131" t="s">
        <v>681</v>
      </c>
      <c r="ES131" t="s">
        <v>681</v>
      </c>
      <c r="ET131" t="s">
        <v>681</v>
      </c>
      <c r="EU131" t="s">
        <v>1037</v>
      </c>
      <c r="EV131" t="s">
        <v>681</v>
      </c>
      <c r="EW131" t="s">
        <v>1088</v>
      </c>
      <c r="EX131" t="s">
        <v>1088</v>
      </c>
      <c r="EY131" t="s">
        <v>681</v>
      </c>
      <c r="EZ131" t="s">
        <v>681</v>
      </c>
      <c r="FA131" t="s">
        <v>681</v>
      </c>
    </row>
    <row r="133" spans="3:157" x14ac:dyDescent="0.3">
      <c r="C133" t="s">
        <v>1089</v>
      </c>
    </row>
    <row r="134" spans="3:157" x14ac:dyDescent="0.3">
      <c r="C134" t="s">
        <v>1090</v>
      </c>
      <c r="D134">
        <v>5768</v>
      </c>
      <c r="E134">
        <v>109</v>
      </c>
      <c r="F134">
        <v>0</v>
      </c>
      <c r="G134">
        <v>6071</v>
      </c>
      <c r="H134">
        <v>3378</v>
      </c>
      <c r="I134">
        <v>4408</v>
      </c>
      <c r="J134">
        <v>786</v>
      </c>
      <c r="K134">
        <v>0</v>
      </c>
      <c r="L134">
        <v>0</v>
      </c>
      <c r="M134">
        <v>52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602</v>
      </c>
      <c r="AD134">
        <v>45</v>
      </c>
      <c r="AE134">
        <v>0</v>
      </c>
      <c r="AF134">
        <v>0</v>
      </c>
      <c r="AG134">
        <v>0</v>
      </c>
      <c r="AH134">
        <v>706</v>
      </c>
      <c r="AI134">
        <v>599</v>
      </c>
      <c r="AJ134">
        <v>12</v>
      </c>
      <c r="AK134">
        <v>1</v>
      </c>
      <c r="AL134">
        <v>0</v>
      </c>
      <c r="AM134">
        <v>73</v>
      </c>
      <c r="AN134">
        <v>18</v>
      </c>
      <c r="AO134">
        <v>46724</v>
      </c>
      <c r="AP134">
        <v>-13</v>
      </c>
      <c r="AQ134">
        <v>3098</v>
      </c>
      <c r="AR134">
        <v>367</v>
      </c>
      <c r="AS134">
        <v>0</v>
      </c>
      <c r="AT134">
        <v>0</v>
      </c>
      <c r="AU134">
        <v>0</v>
      </c>
      <c r="AV134">
        <v>195</v>
      </c>
      <c r="AW134">
        <v>381</v>
      </c>
      <c r="AX134">
        <v>14</v>
      </c>
      <c r="AY134">
        <v>0</v>
      </c>
      <c r="AZ134">
        <v>0</v>
      </c>
      <c r="BA134">
        <v>20</v>
      </c>
      <c r="BB134">
        <v>0</v>
      </c>
      <c r="BC134">
        <v>75211</v>
      </c>
      <c r="BD134">
        <v>-29</v>
      </c>
      <c r="BE134">
        <v>1121</v>
      </c>
      <c r="BF134">
        <v>955</v>
      </c>
      <c r="BG134">
        <v>353</v>
      </c>
      <c r="BH134">
        <v>1040</v>
      </c>
      <c r="BI134">
        <v>1003</v>
      </c>
      <c r="BJ134">
        <v>133</v>
      </c>
      <c r="BK134">
        <v>765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813</v>
      </c>
      <c r="CA134">
        <v>903</v>
      </c>
      <c r="CB134">
        <v>0</v>
      </c>
      <c r="CC134">
        <v>65</v>
      </c>
      <c r="CD134">
        <v>3040</v>
      </c>
      <c r="CE134">
        <v>619</v>
      </c>
      <c r="CF134">
        <v>14</v>
      </c>
      <c r="CG134">
        <v>8</v>
      </c>
      <c r="CH134">
        <v>590</v>
      </c>
      <c r="CI134">
        <v>414</v>
      </c>
      <c r="CJ134">
        <v>0</v>
      </c>
      <c r="CK134">
        <v>704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2763</v>
      </c>
      <c r="CR134">
        <v>2742</v>
      </c>
      <c r="CS134">
        <v>0</v>
      </c>
      <c r="CT134">
        <v>43</v>
      </c>
      <c r="CU134">
        <v>10876</v>
      </c>
      <c r="CV134">
        <v>22</v>
      </c>
      <c r="CW134">
        <v>100</v>
      </c>
      <c r="CX134">
        <v>0</v>
      </c>
      <c r="CY134">
        <v>0</v>
      </c>
      <c r="CZ134">
        <v>0</v>
      </c>
      <c r="DA134">
        <v>0</v>
      </c>
      <c r="DB134">
        <v>124</v>
      </c>
      <c r="DC134">
        <v>0</v>
      </c>
      <c r="DD134">
        <v>0</v>
      </c>
      <c r="DE134">
        <v>124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26</v>
      </c>
      <c r="DL134">
        <v>2045</v>
      </c>
      <c r="DM134">
        <v>2087</v>
      </c>
      <c r="DN134">
        <v>0</v>
      </c>
      <c r="DO134">
        <v>0</v>
      </c>
      <c r="DP134">
        <v>387</v>
      </c>
      <c r="DQ134">
        <v>4546</v>
      </c>
      <c r="DR134">
        <v>1875</v>
      </c>
      <c r="DS134">
        <v>0</v>
      </c>
      <c r="DT134">
        <v>0</v>
      </c>
      <c r="DU134">
        <v>0</v>
      </c>
      <c r="DV134">
        <v>0</v>
      </c>
      <c r="DW134">
        <v>821</v>
      </c>
      <c r="DX134">
        <v>141522</v>
      </c>
      <c r="DY134">
        <v>1850</v>
      </c>
      <c r="DZ134">
        <v>1850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163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109</v>
      </c>
      <c r="EV134">
        <v>0</v>
      </c>
      <c r="EW134">
        <v>2333</v>
      </c>
      <c r="EX134">
        <v>2335</v>
      </c>
      <c r="EY134">
        <v>0</v>
      </c>
      <c r="EZ134">
        <v>0</v>
      </c>
      <c r="FA134">
        <v>0</v>
      </c>
    </row>
    <row r="135" spans="3:157" x14ac:dyDescent="0.3">
      <c r="C135" t="s">
        <v>1091</v>
      </c>
      <c r="D135">
        <v>5620</v>
      </c>
      <c r="E135">
        <v>113</v>
      </c>
      <c r="F135">
        <v>0</v>
      </c>
      <c r="G135">
        <v>6194</v>
      </c>
      <c r="H135">
        <v>2889</v>
      </c>
      <c r="I135">
        <v>3927</v>
      </c>
      <c r="J135">
        <v>2032</v>
      </c>
      <c r="K135">
        <v>0</v>
      </c>
      <c r="L135">
        <v>0</v>
      </c>
      <c r="M135">
        <v>87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195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606</v>
      </c>
      <c r="AD135">
        <v>45</v>
      </c>
      <c r="AE135">
        <v>0</v>
      </c>
      <c r="AF135">
        <v>0</v>
      </c>
      <c r="AG135">
        <v>0</v>
      </c>
      <c r="AH135">
        <v>470</v>
      </c>
      <c r="AI135">
        <v>685</v>
      </c>
      <c r="AJ135">
        <v>83</v>
      </c>
      <c r="AK135">
        <v>21</v>
      </c>
      <c r="AL135">
        <v>0</v>
      </c>
      <c r="AM135">
        <v>153</v>
      </c>
      <c r="AN135">
        <v>70</v>
      </c>
      <c r="AO135">
        <v>54391</v>
      </c>
      <c r="AP135">
        <v>2</v>
      </c>
      <c r="AQ135">
        <v>3110</v>
      </c>
      <c r="AR135">
        <v>367</v>
      </c>
      <c r="AS135">
        <v>0</v>
      </c>
      <c r="AT135">
        <v>0</v>
      </c>
      <c r="AU135">
        <v>0</v>
      </c>
      <c r="AV135">
        <v>209</v>
      </c>
      <c r="AW135">
        <v>408</v>
      </c>
      <c r="AX135">
        <v>22</v>
      </c>
      <c r="AY135">
        <v>8</v>
      </c>
      <c r="AZ135">
        <v>0</v>
      </c>
      <c r="BA135">
        <v>42</v>
      </c>
      <c r="BB135">
        <v>0</v>
      </c>
      <c r="BC135">
        <v>98595</v>
      </c>
      <c r="BD135">
        <v>-37</v>
      </c>
      <c r="BE135">
        <v>1116</v>
      </c>
      <c r="BF135">
        <v>971</v>
      </c>
      <c r="BG135">
        <v>353</v>
      </c>
      <c r="BH135">
        <v>815</v>
      </c>
      <c r="BI135">
        <v>662</v>
      </c>
      <c r="BJ135">
        <v>282</v>
      </c>
      <c r="BK135">
        <v>765</v>
      </c>
      <c r="BL135">
        <v>0</v>
      </c>
      <c r="BM135">
        <v>72</v>
      </c>
      <c r="BN135">
        <v>72</v>
      </c>
      <c r="BO135">
        <v>2675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815</v>
      </c>
      <c r="CA135">
        <v>907</v>
      </c>
      <c r="CB135">
        <v>1</v>
      </c>
      <c r="CC135">
        <v>1012</v>
      </c>
      <c r="CD135">
        <v>3035</v>
      </c>
      <c r="CE135">
        <v>5363</v>
      </c>
      <c r="CF135">
        <v>14</v>
      </c>
      <c r="CG135">
        <v>8</v>
      </c>
      <c r="CH135">
        <v>590</v>
      </c>
      <c r="CI135">
        <v>414</v>
      </c>
      <c r="CJ135">
        <v>0</v>
      </c>
      <c r="CK135">
        <v>691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2826</v>
      </c>
      <c r="CR135">
        <v>2693</v>
      </c>
      <c r="CS135">
        <v>0</v>
      </c>
      <c r="CT135">
        <v>93</v>
      </c>
      <c r="CU135">
        <v>24129</v>
      </c>
      <c r="CV135">
        <v>-40</v>
      </c>
      <c r="CW135">
        <v>100</v>
      </c>
      <c r="CX135">
        <v>0</v>
      </c>
      <c r="CY135">
        <v>0</v>
      </c>
      <c r="CZ135">
        <v>0</v>
      </c>
      <c r="DA135">
        <v>0</v>
      </c>
      <c r="DB135">
        <v>125</v>
      </c>
      <c r="DC135">
        <v>0</v>
      </c>
      <c r="DD135">
        <v>0</v>
      </c>
      <c r="DE135">
        <v>125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105</v>
      </c>
      <c r="DL135">
        <v>1594</v>
      </c>
      <c r="DM135">
        <v>1808</v>
      </c>
      <c r="DN135">
        <v>0</v>
      </c>
      <c r="DO135">
        <v>0</v>
      </c>
      <c r="DP135">
        <v>387</v>
      </c>
      <c r="DQ135">
        <v>3894</v>
      </c>
      <c r="DR135">
        <v>1875</v>
      </c>
      <c r="DS135">
        <v>0</v>
      </c>
      <c r="DT135">
        <v>0</v>
      </c>
      <c r="DU135">
        <v>0</v>
      </c>
      <c r="DV135">
        <v>0</v>
      </c>
      <c r="DW135">
        <v>4</v>
      </c>
      <c r="DX135">
        <v>26419</v>
      </c>
      <c r="DY135">
        <v>2015</v>
      </c>
      <c r="DZ135">
        <v>2015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169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113</v>
      </c>
      <c r="EV135">
        <v>0</v>
      </c>
      <c r="EW135">
        <v>2333</v>
      </c>
      <c r="EX135">
        <v>2331</v>
      </c>
      <c r="EY135">
        <v>0</v>
      </c>
      <c r="EZ135">
        <v>0</v>
      </c>
      <c r="FA135">
        <v>0</v>
      </c>
    </row>
    <row r="136" spans="3:157" x14ac:dyDescent="0.3">
      <c r="C136" t="s">
        <v>1092</v>
      </c>
      <c r="D136">
        <v>5434</v>
      </c>
      <c r="E136">
        <v>129</v>
      </c>
      <c r="F136">
        <v>0</v>
      </c>
      <c r="G136">
        <v>5387</v>
      </c>
      <c r="H136">
        <v>2705</v>
      </c>
      <c r="I136">
        <v>3772</v>
      </c>
      <c r="J136">
        <v>4228</v>
      </c>
      <c r="K136">
        <v>0</v>
      </c>
      <c r="L136">
        <v>0</v>
      </c>
      <c r="M136">
        <v>65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221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568</v>
      </c>
      <c r="AD136">
        <v>45</v>
      </c>
      <c r="AE136">
        <v>0</v>
      </c>
      <c r="AF136">
        <v>0</v>
      </c>
      <c r="AG136">
        <v>0</v>
      </c>
      <c r="AH136">
        <v>221</v>
      </c>
      <c r="AI136">
        <v>652</v>
      </c>
      <c r="AJ136">
        <v>135</v>
      </c>
      <c r="AK136">
        <v>4</v>
      </c>
      <c r="AL136">
        <v>0</v>
      </c>
      <c r="AM136">
        <v>174</v>
      </c>
      <c r="AN136">
        <v>228</v>
      </c>
      <c r="AO136">
        <v>55782</v>
      </c>
      <c r="AP136">
        <v>-2</v>
      </c>
      <c r="AQ136">
        <v>2999</v>
      </c>
      <c r="AR136">
        <v>367</v>
      </c>
      <c r="AS136">
        <v>0</v>
      </c>
      <c r="AT136">
        <v>0</v>
      </c>
      <c r="AU136">
        <v>0</v>
      </c>
      <c r="AV136">
        <v>22</v>
      </c>
      <c r="AW136">
        <v>220</v>
      </c>
      <c r="AX136">
        <v>27</v>
      </c>
      <c r="AY136">
        <v>1</v>
      </c>
      <c r="AZ136">
        <v>0</v>
      </c>
      <c r="BA136">
        <v>47</v>
      </c>
      <c r="BB136">
        <v>0</v>
      </c>
      <c r="BC136">
        <v>99797</v>
      </c>
      <c r="BD136">
        <v>-93</v>
      </c>
      <c r="BE136">
        <v>1126</v>
      </c>
      <c r="BF136">
        <v>794</v>
      </c>
      <c r="BG136">
        <v>353</v>
      </c>
      <c r="BH136">
        <v>265</v>
      </c>
      <c r="BI136">
        <v>47</v>
      </c>
      <c r="BJ136">
        <v>0</v>
      </c>
      <c r="BK136">
        <v>738</v>
      </c>
      <c r="BL136">
        <v>0</v>
      </c>
      <c r="BM136">
        <v>873</v>
      </c>
      <c r="BN136">
        <v>216</v>
      </c>
      <c r="BO136">
        <v>182133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819</v>
      </c>
      <c r="CA136">
        <v>1067</v>
      </c>
      <c r="CB136">
        <v>99</v>
      </c>
      <c r="CC136">
        <v>17339</v>
      </c>
      <c r="CD136">
        <v>3036</v>
      </c>
      <c r="CE136">
        <v>12248</v>
      </c>
      <c r="CF136">
        <v>14</v>
      </c>
      <c r="CG136">
        <v>8</v>
      </c>
      <c r="CH136">
        <v>590</v>
      </c>
      <c r="CI136">
        <v>414</v>
      </c>
      <c r="CJ136">
        <v>0</v>
      </c>
      <c r="CK136">
        <v>571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2408</v>
      </c>
      <c r="CR136">
        <v>2226</v>
      </c>
      <c r="CS136">
        <v>0</v>
      </c>
      <c r="CT136">
        <v>219</v>
      </c>
      <c r="CU136">
        <v>36177</v>
      </c>
      <c r="CV136">
        <v>37</v>
      </c>
      <c r="CW136">
        <v>100</v>
      </c>
      <c r="CX136">
        <v>0</v>
      </c>
      <c r="CY136">
        <v>0</v>
      </c>
      <c r="CZ136">
        <v>0</v>
      </c>
      <c r="DA136">
        <v>0</v>
      </c>
      <c r="DB136">
        <v>103</v>
      </c>
      <c r="DC136">
        <v>0</v>
      </c>
      <c r="DD136">
        <v>0</v>
      </c>
      <c r="DE136">
        <v>103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161</v>
      </c>
      <c r="DL136">
        <v>526</v>
      </c>
      <c r="DM136">
        <v>84</v>
      </c>
      <c r="DN136">
        <v>0</v>
      </c>
      <c r="DO136">
        <v>0</v>
      </c>
      <c r="DP136">
        <v>387</v>
      </c>
      <c r="DQ136">
        <v>1159</v>
      </c>
      <c r="DR136">
        <v>1875</v>
      </c>
      <c r="DS136">
        <v>0</v>
      </c>
      <c r="DT136">
        <v>0</v>
      </c>
      <c r="DU136">
        <v>0</v>
      </c>
      <c r="DV136">
        <v>0</v>
      </c>
      <c r="DW136">
        <v>-797</v>
      </c>
      <c r="DX136">
        <v>288036</v>
      </c>
      <c r="DY136">
        <v>81</v>
      </c>
      <c r="DZ136">
        <v>81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194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129</v>
      </c>
      <c r="EV136">
        <v>0</v>
      </c>
      <c r="EW136">
        <v>2332</v>
      </c>
      <c r="EX136">
        <v>2332</v>
      </c>
      <c r="EY136">
        <v>0</v>
      </c>
      <c r="EZ136">
        <v>0</v>
      </c>
      <c r="FA136">
        <v>0</v>
      </c>
    </row>
    <row r="137" spans="3:157" x14ac:dyDescent="0.3">
      <c r="C137" t="s">
        <v>1093</v>
      </c>
      <c r="D137">
        <v>5117</v>
      </c>
      <c r="E137">
        <v>151</v>
      </c>
      <c r="F137">
        <v>0</v>
      </c>
      <c r="G137">
        <v>4466</v>
      </c>
      <c r="H137">
        <v>1615</v>
      </c>
      <c r="I137">
        <v>2593</v>
      </c>
      <c r="J137">
        <v>6015</v>
      </c>
      <c r="K137">
        <v>0</v>
      </c>
      <c r="L137">
        <v>0</v>
      </c>
      <c r="M137">
        <v>37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343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507</v>
      </c>
      <c r="AD137">
        <v>45</v>
      </c>
      <c r="AE137">
        <v>0</v>
      </c>
      <c r="AF137">
        <v>0</v>
      </c>
      <c r="AG137">
        <v>0</v>
      </c>
      <c r="AH137">
        <v>185</v>
      </c>
      <c r="AI137">
        <v>424</v>
      </c>
      <c r="AJ137">
        <v>58</v>
      </c>
      <c r="AK137">
        <v>2</v>
      </c>
      <c r="AL137">
        <v>0</v>
      </c>
      <c r="AM137">
        <v>269</v>
      </c>
      <c r="AN137">
        <v>651</v>
      </c>
      <c r="AO137">
        <v>55916</v>
      </c>
      <c r="AP137">
        <v>0</v>
      </c>
      <c r="AQ137">
        <v>2819</v>
      </c>
      <c r="AR137">
        <v>367</v>
      </c>
      <c r="AS137">
        <v>0</v>
      </c>
      <c r="AT137">
        <v>0</v>
      </c>
      <c r="AU137">
        <v>0</v>
      </c>
      <c r="AV137">
        <v>4</v>
      </c>
      <c r="AW137">
        <v>36</v>
      </c>
      <c r="AX137">
        <v>10</v>
      </c>
      <c r="AY137">
        <v>4</v>
      </c>
      <c r="AZ137">
        <v>0</v>
      </c>
      <c r="BA137">
        <v>74</v>
      </c>
      <c r="BB137">
        <v>0</v>
      </c>
      <c r="BC137">
        <v>99998</v>
      </c>
      <c r="BD137">
        <v>-337</v>
      </c>
      <c r="BE137">
        <v>1118</v>
      </c>
      <c r="BF137">
        <v>503</v>
      </c>
      <c r="BG137">
        <v>353</v>
      </c>
      <c r="BH137">
        <v>199</v>
      </c>
      <c r="BI137">
        <v>13</v>
      </c>
      <c r="BJ137">
        <v>0</v>
      </c>
      <c r="BK137">
        <v>602</v>
      </c>
      <c r="BL137">
        <v>0</v>
      </c>
      <c r="BM137">
        <v>564</v>
      </c>
      <c r="BN137">
        <v>105</v>
      </c>
      <c r="BO137">
        <v>760189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813</v>
      </c>
      <c r="CA137">
        <v>1269</v>
      </c>
      <c r="CB137">
        <v>287</v>
      </c>
      <c r="CC137">
        <v>21873</v>
      </c>
      <c r="CD137">
        <v>3068</v>
      </c>
      <c r="CE137">
        <v>10174</v>
      </c>
      <c r="CF137">
        <v>14</v>
      </c>
      <c r="CG137">
        <v>8</v>
      </c>
      <c r="CH137">
        <v>590</v>
      </c>
      <c r="CI137">
        <v>414</v>
      </c>
      <c r="CJ137">
        <v>0</v>
      </c>
      <c r="CK137">
        <v>385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1930</v>
      </c>
      <c r="CR137">
        <v>1501</v>
      </c>
      <c r="CS137">
        <v>0</v>
      </c>
      <c r="CT137">
        <v>434</v>
      </c>
      <c r="CU137">
        <v>39024</v>
      </c>
      <c r="CV137">
        <v>6</v>
      </c>
      <c r="CW137">
        <v>100</v>
      </c>
      <c r="CX137">
        <v>0</v>
      </c>
      <c r="CY137">
        <v>0</v>
      </c>
      <c r="CZ137">
        <v>0</v>
      </c>
      <c r="DA137">
        <v>0</v>
      </c>
      <c r="DB137">
        <v>99</v>
      </c>
      <c r="DC137">
        <v>0</v>
      </c>
      <c r="DD137">
        <v>0</v>
      </c>
      <c r="DE137">
        <v>99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68</v>
      </c>
      <c r="DL137">
        <v>397</v>
      </c>
      <c r="DM137">
        <v>23</v>
      </c>
      <c r="DN137">
        <v>0</v>
      </c>
      <c r="DO137">
        <v>0</v>
      </c>
      <c r="DP137">
        <v>387</v>
      </c>
      <c r="DQ137">
        <v>876</v>
      </c>
      <c r="DR137">
        <v>1875</v>
      </c>
      <c r="DS137">
        <v>0</v>
      </c>
      <c r="DT137">
        <v>0</v>
      </c>
      <c r="DU137">
        <v>0</v>
      </c>
      <c r="DV137">
        <v>0</v>
      </c>
      <c r="DW137">
        <v>-1049</v>
      </c>
      <c r="DX137">
        <v>935574</v>
      </c>
      <c r="DY137">
        <v>50</v>
      </c>
      <c r="DZ137">
        <v>50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227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151</v>
      </c>
      <c r="EV137">
        <v>0</v>
      </c>
      <c r="EW137">
        <v>2333</v>
      </c>
      <c r="EX137">
        <v>2356</v>
      </c>
      <c r="EY137">
        <v>0</v>
      </c>
      <c r="EZ137">
        <v>0</v>
      </c>
      <c r="FA137">
        <v>0</v>
      </c>
    </row>
    <row r="138" spans="3:157" x14ac:dyDescent="0.3">
      <c r="C138" t="s">
        <v>1094</v>
      </c>
      <c r="D138">
        <v>4939</v>
      </c>
      <c r="E138">
        <v>166</v>
      </c>
      <c r="F138">
        <v>0</v>
      </c>
      <c r="G138">
        <v>3666</v>
      </c>
      <c r="H138">
        <v>1214</v>
      </c>
      <c r="I138">
        <v>2003</v>
      </c>
      <c r="J138">
        <v>6594</v>
      </c>
      <c r="K138">
        <v>0</v>
      </c>
      <c r="L138">
        <v>0</v>
      </c>
      <c r="M138">
        <v>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365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429</v>
      </c>
      <c r="AD138">
        <v>45</v>
      </c>
      <c r="AE138">
        <v>0</v>
      </c>
      <c r="AF138">
        <v>0</v>
      </c>
      <c r="AG138">
        <v>0</v>
      </c>
      <c r="AH138">
        <v>55</v>
      </c>
      <c r="AI138">
        <v>361</v>
      </c>
      <c r="AJ138">
        <v>43</v>
      </c>
      <c r="AK138">
        <v>3</v>
      </c>
      <c r="AL138">
        <v>0</v>
      </c>
      <c r="AM138">
        <v>287</v>
      </c>
      <c r="AN138">
        <v>1156</v>
      </c>
      <c r="AO138">
        <v>55963</v>
      </c>
      <c r="AP138">
        <v>-1</v>
      </c>
      <c r="AQ138">
        <v>1459</v>
      </c>
      <c r="AR138">
        <v>367</v>
      </c>
      <c r="AS138">
        <v>0</v>
      </c>
      <c r="AT138">
        <v>0</v>
      </c>
      <c r="AU138">
        <v>0</v>
      </c>
      <c r="AV138">
        <v>44</v>
      </c>
      <c r="AW138">
        <v>461</v>
      </c>
      <c r="AX138">
        <v>32</v>
      </c>
      <c r="AY138">
        <v>7</v>
      </c>
      <c r="AZ138">
        <v>0</v>
      </c>
      <c r="BA138">
        <v>78</v>
      </c>
      <c r="BB138">
        <v>0</v>
      </c>
      <c r="BC138">
        <v>99760</v>
      </c>
      <c r="BD138">
        <v>-6</v>
      </c>
      <c r="BE138">
        <v>1122</v>
      </c>
      <c r="BF138">
        <v>474</v>
      </c>
      <c r="BG138">
        <v>134</v>
      </c>
      <c r="BH138">
        <v>126</v>
      </c>
      <c r="BI138">
        <v>0</v>
      </c>
      <c r="BJ138">
        <v>0</v>
      </c>
      <c r="BK138">
        <v>579</v>
      </c>
      <c r="BL138">
        <v>0</v>
      </c>
      <c r="BM138">
        <v>4</v>
      </c>
      <c r="BN138">
        <v>4</v>
      </c>
      <c r="BO138">
        <v>819987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815</v>
      </c>
      <c r="CA138">
        <v>1035</v>
      </c>
      <c r="CB138">
        <v>105</v>
      </c>
      <c r="CC138">
        <v>30332</v>
      </c>
      <c r="CD138">
        <v>3022</v>
      </c>
      <c r="CE138">
        <v>20395</v>
      </c>
      <c r="CF138">
        <v>14</v>
      </c>
      <c r="CG138">
        <v>8</v>
      </c>
      <c r="CH138">
        <v>590</v>
      </c>
      <c r="CI138">
        <v>414</v>
      </c>
      <c r="CJ138">
        <v>0</v>
      </c>
      <c r="CK138">
        <v>263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1514</v>
      </c>
      <c r="CR138">
        <v>1026</v>
      </c>
      <c r="CS138">
        <v>0</v>
      </c>
      <c r="CT138">
        <v>488</v>
      </c>
      <c r="CU138">
        <v>40619</v>
      </c>
      <c r="CV138">
        <v>0</v>
      </c>
      <c r="CW138">
        <v>100</v>
      </c>
      <c r="CX138">
        <v>0</v>
      </c>
      <c r="CY138">
        <v>0</v>
      </c>
      <c r="CZ138">
        <v>0</v>
      </c>
      <c r="DA138">
        <v>0</v>
      </c>
      <c r="DB138">
        <v>85</v>
      </c>
      <c r="DC138">
        <v>0</v>
      </c>
      <c r="DD138">
        <v>0</v>
      </c>
      <c r="DE138">
        <v>85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75</v>
      </c>
      <c r="DL138">
        <v>245</v>
      </c>
      <c r="DM138">
        <v>0</v>
      </c>
      <c r="DN138">
        <v>0</v>
      </c>
      <c r="DO138">
        <v>0</v>
      </c>
      <c r="DP138">
        <v>387</v>
      </c>
      <c r="DQ138">
        <v>707</v>
      </c>
      <c r="DR138">
        <v>1875</v>
      </c>
      <c r="DS138">
        <v>0</v>
      </c>
      <c r="DT138">
        <v>0</v>
      </c>
      <c r="DU138">
        <v>0</v>
      </c>
      <c r="DV138">
        <v>0</v>
      </c>
      <c r="DW138">
        <v>-1217</v>
      </c>
      <c r="DX138">
        <v>1789485</v>
      </c>
      <c r="DY138">
        <v>50</v>
      </c>
      <c r="DZ138">
        <v>50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249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166</v>
      </c>
      <c r="EV138">
        <v>0</v>
      </c>
      <c r="EW138">
        <v>2333</v>
      </c>
      <c r="EX138">
        <v>2321</v>
      </c>
      <c r="EY138">
        <v>0</v>
      </c>
      <c r="EZ138">
        <v>0</v>
      </c>
      <c r="FA138">
        <v>0</v>
      </c>
    </row>
    <row r="139" spans="3:157" x14ac:dyDescent="0.3">
      <c r="C139" t="s">
        <v>1095</v>
      </c>
      <c r="D139">
        <v>4817</v>
      </c>
      <c r="E139">
        <v>237</v>
      </c>
      <c r="F139">
        <v>0</v>
      </c>
      <c r="G139">
        <v>2070</v>
      </c>
      <c r="H139">
        <v>1139</v>
      </c>
      <c r="I139">
        <v>1882</v>
      </c>
      <c r="J139">
        <v>6616</v>
      </c>
      <c r="K139">
        <v>0</v>
      </c>
      <c r="L139">
        <v>0</v>
      </c>
      <c r="M139">
        <v>32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330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381</v>
      </c>
      <c r="AD139">
        <v>45</v>
      </c>
      <c r="AE139">
        <v>0</v>
      </c>
      <c r="AF139">
        <v>0</v>
      </c>
      <c r="AG139">
        <v>0</v>
      </c>
      <c r="AH139">
        <v>2</v>
      </c>
      <c r="AI139">
        <v>48</v>
      </c>
      <c r="AJ139">
        <v>11</v>
      </c>
      <c r="AK139">
        <v>3</v>
      </c>
      <c r="AL139">
        <v>0</v>
      </c>
      <c r="AM139">
        <v>259</v>
      </c>
      <c r="AN139">
        <v>2538</v>
      </c>
      <c r="AO139">
        <v>56000</v>
      </c>
      <c r="AP139">
        <v>-57</v>
      </c>
      <c r="AQ139">
        <v>1320</v>
      </c>
      <c r="AR139">
        <v>367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7</v>
      </c>
      <c r="AY139">
        <v>6</v>
      </c>
      <c r="AZ139">
        <v>0</v>
      </c>
      <c r="BA139">
        <v>71</v>
      </c>
      <c r="BB139">
        <v>0</v>
      </c>
      <c r="BC139">
        <v>100000</v>
      </c>
      <c r="BD139">
        <v>-392</v>
      </c>
      <c r="BE139">
        <v>1124</v>
      </c>
      <c r="BF139">
        <v>97</v>
      </c>
      <c r="BG139">
        <v>134</v>
      </c>
      <c r="BH139">
        <v>2</v>
      </c>
      <c r="BI139">
        <v>0</v>
      </c>
      <c r="BJ139">
        <v>0</v>
      </c>
      <c r="BK139">
        <v>561</v>
      </c>
      <c r="BL139">
        <v>0</v>
      </c>
      <c r="BM139">
        <v>0</v>
      </c>
      <c r="BN139">
        <v>0</v>
      </c>
      <c r="BO139">
        <v>820000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819</v>
      </c>
      <c r="CA139">
        <v>1027</v>
      </c>
      <c r="CB139">
        <v>95</v>
      </c>
      <c r="CC139">
        <v>31615</v>
      </c>
      <c r="CD139">
        <v>3128</v>
      </c>
      <c r="CE139">
        <v>40109</v>
      </c>
      <c r="CF139">
        <v>14</v>
      </c>
      <c r="CG139">
        <v>8</v>
      </c>
      <c r="CH139">
        <v>590</v>
      </c>
      <c r="CI139">
        <v>414</v>
      </c>
      <c r="CJ139">
        <v>0</v>
      </c>
      <c r="CK139">
        <v>84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686</v>
      </c>
      <c r="CR139">
        <v>329</v>
      </c>
      <c r="CS139">
        <v>0</v>
      </c>
      <c r="CT139">
        <v>357</v>
      </c>
      <c r="CU139">
        <v>40831</v>
      </c>
      <c r="CV139">
        <v>0</v>
      </c>
      <c r="CW139">
        <v>100</v>
      </c>
      <c r="CX139">
        <v>0</v>
      </c>
      <c r="CY139">
        <v>0</v>
      </c>
      <c r="CZ139">
        <v>0</v>
      </c>
      <c r="DA139">
        <v>0</v>
      </c>
      <c r="DB139">
        <v>96</v>
      </c>
      <c r="DC139">
        <v>0</v>
      </c>
      <c r="DD139">
        <v>0</v>
      </c>
      <c r="DE139">
        <v>96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18</v>
      </c>
      <c r="DL139">
        <v>4</v>
      </c>
      <c r="DM139">
        <v>0</v>
      </c>
      <c r="DN139">
        <v>0</v>
      </c>
      <c r="DO139">
        <v>0</v>
      </c>
      <c r="DP139">
        <v>387</v>
      </c>
      <c r="DQ139">
        <v>409</v>
      </c>
      <c r="DR139">
        <v>1875</v>
      </c>
      <c r="DS139">
        <v>0</v>
      </c>
      <c r="DT139">
        <v>0</v>
      </c>
      <c r="DU139">
        <v>0</v>
      </c>
      <c r="DV139">
        <v>0</v>
      </c>
      <c r="DW139">
        <v>-1515</v>
      </c>
      <c r="DX139">
        <v>2800591</v>
      </c>
      <c r="DY139">
        <v>50</v>
      </c>
      <c r="DZ139">
        <v>50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356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237</v>
      </c>
      <c r="EV139">
        <v>0</v>
      </c>
      <c r="EW139">
        <v>2332</v>
      </c>
      <c r="EX139">
        <v>2402</v>
      </c>
      <c r="EY139">
        <v>0</v>
      </c>
      <c r="EZ139">
        <v>0</v>
      </c>
      <c r="FA139">
        <v>0</v>
      </c>
    </row>
    <row r="140" spans="3:157" x14ac:dyDescent="0.3">
      <c r="C140" t="s">
        <v>1096</v>
      </c>
      <c r="D140">
        <v>4508</v>
      </c>
      <c r="E140">
        <v>305</v>
      </c>
      <c r="F140">
        <v>0</v>
      </c>
      <c r="G140">
        <v>2070</v>
      </c>
      <c r="H140">
        <v>1072</v>
      </c>
      <c r="I140">
        <v>1838</v>
      </c>
      <c r="J140">
        <v>6273</v>
      </c>
      <c r="K140">
        <v>0</v>
      </c>
      <c r="L140">
        <v>0</v>
      </c>
      <c r="M140">
        <v>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353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363</v>
      </c>
      <c r="AD140">
        <v>45</v>
      </c>
      <c r="AE140">
        <v>0</v>
      </c>
      <c r="AF140">
        <v>0</v>
      </c>
      <c r="AG140">
        <v>0</v>
      </c>
      <c r="AH140">
        <v>5</v>
      </c>
      <c r="AI140">
        <v>40</v>
      </c>
      <c r="AJ140">
        <v>12</v>
      </c>
      <c r="AK140">
        <v>3</v>
      </c>
      <c r="AL140">
        <v>0</v>
      </c>
      <c r="AM140">
        <v>270</v>
      </c>
      <c r="AN140">
        <v>4028</v>
      </c>
      <c r="AO140">
        <v>55999</v>
      </c>
      <c r="AP140">
        <v>-48</v>
      </c>
      <c r="AQ140">
        <v>1259</v>
      </c>
      <c r="AR140">
        <v>367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7</v>
      </c>
      <c r="AY140">
        <v>6</v>
      </c>
      <c r="AZ140">
        <v>0</v>
      </c>
      <c r="BA140">
        <v>83</v>
      </c>
      <c r="BB140">
        <v>0</v>
      </c>
      <c r="BC140">
        <v>100000</v>
      </c>
      <c r="BD140">
        <v>-343</v>
      </c>
      <c r="BE140">
        <v>1125</v>
      </c>
      <c r="BF140">
        <v>89</v>
      </c>
      <c r="BG140">
        <v>134</v>
      </c>
      <c r="BH140">
        <v>5</v>
      </c>
      <c r="BI140">
        <v>0</v>
      </c>
      <c r="BJ140">
        <v>0</v>
      </c>
      <c r="BK140">
        <v>580</v>
      </c>
      <c r="BL140">
        <v>0</v>
      </c>
      <c r="BM140">
        <v>0</v>
      </c>
      <c r="BN140">
        <v>0</v>
      </c>
      <c r="BO140">
        <v>820000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813</v>
      </c>
      <c r="CA140">
        <v>1074</v>
      </c>
      <c r="CB140">
        <v>150</v>
      </c>
      <c r="CC140">
        <v>30294</v>
      </c>
      <c r="CD140">
        <v>2950</v>
      </c>
      <c r="CE140">
        <v>76937</v>
      </c>
      <c r="CF140">
        <v>14</v>
      </c>
      <c r="CG140">
        <v>8</v>
      </c>
      <c r="CH140">
        <v>590</v>
      </c>
      <c r="CI140">
        <v>414</v>
      </c>
      <c r="CJ140">
        <v>0</v>
      </c>
      <c r="CK140">
        <v>79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686</v>
      </c>
      <c r="CR140">
        <v>307</v>
      </c>
      <c r="CS140">
        <v>0</v>
      </c>
      <c r="CT140">
        <v>374</v>
      </c>
      <c r="CU140">
        <v>40465</v>
      </c>
      <c r="CV140">
        <v>-5</v>
      </c>
      <c r="CW140">
        <v>100</v>
      </c>
      <c r="CX140">
        <v>0</v>
      </c>
      <c r="CY140">
        <v>0</v>
      </c>
      <c r="CZ140">
        <v>0</v>
      </c>
      <c r="DA140">
        <v>0</v>
      </c>
      <c r="DB140">
        <v>91</v>
      </c>
      <c r="DC140">
        <v>0</v>
      </c>
      <c r="DD140">
        <v>0</v>
      </c>
      <c r="DE140">
        <v>92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19</v>
      </c>
      <c r="DL140">
        <v>11</v>
      </c>
      <c r="DM140">
        <v>0</v>
      </c>
      <c r="DN140">
        <v>0</v>
      </c>
      <c r="DO140">
        <v>0</v>
      </c>
      <c r="DP140">
        <v>387</v>
      </c>
      <c r="DQ140">
        <v>417</v>
      </c>
      <c r="DR140">
        <v>1875</v>
      </c>
      <c r="DS140">
        <v>0</v>
      </c>
      <c r="DT140">
        <v>0</v>
      </c>
      <c r="DU140">
        <v>0</v>
      </c>
      <c r="DV140">
        <v>0</v>
      </c>
      <c r="DW140">
        <v>-1507</v>
      </c>
      <c r="DX140">
        <v>3909197</v>
      </c>
      <c r="DY140">
        <v>50</v>
      </c>
      <c r="DZ140">
        <v>50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457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305</v>
      </c>
      <c r="EV140">
        <v>0</v>
      </c>
      <c r="EW140">
        <v>2333</v>
      </c>
      <c r="EX140">
        <v>2266</v>
      </c>
      <c r="EY140">
        <v>0</v>
      </c>
      <c r="EZ140">
        <v>0</v>
      </c>
      <c r="FA140">
        <v>0</v>
      </c>
    </row>
    <row r="141" spans="3:157" x14ac:dyDescent="0.3">
      <c r="C141" t="s">
        <v>1097</v>
      </c>
      <c r="D141">
        <v>4652</v>
      </c>
      <c r="E141">
        <v>383</v>
      </c>
      <c r="F141">
        <v>0</v>
      </c>
      <c r="G141">
        <v>2070</v>
      </c>
      <c r="H141">
        <v>1191</v>
      </c>
      <c r="I141">
        <v>1946</v>
      </c>
      <c r="J141">
        <v>6240</v>
      </c>
      <c r="K141">
        <v>0</v>
      </c>
      <c r="L141">
        <v>0</v>
      </c>
      <c r="M141">
        <v>40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337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371</v>
      </c>
      <c r="AD141">
        <v>45</v>
      </c>
      <c r="AE141">
        <v>0</v>
      </c>
      <c r="AF141">
        <v>0</v>
      </c>
      <c r="AG141">
        <v>0</v>
      </c>
      <c r="AH141">
        <v>25</v>
      </c>
      <c r="AI141">
        <v>30</v>
      </c>
      <c r="AJ141">
        <v>6</v>
      </c>
      <c r="AK141">
        <v>3</v>
      </c>
      <c r="AL141">
        <v>0</v>
      </c>
      <c r="AM141">
        <v>264</v>
      </c>
      <c r="AN141">
        <v>2985</v>
      </c>
      <c r="AO141">
        <v>55995</v>
      </c>
      <c r="AP141">
        <v>-53</v>
      </c>
      <c r="AQ141">
        <v>1286</v>
      </c>
      <c r="AR141">
        <v>367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8</v>
      </c>
      <c r="AY141">
        <v>5</v>
      </c>
      <c r="AZ141">
        <v>0</v>
      </c>
      <c r="BA141">
        <v>73</v>
      </c>
      <c r="BB141">
        <v>0</v>
      </c>
      <c r="BC141">
        <v>100000</v>
      </c>
      <c r="BD141">
        <v>-360</v>
      </c>
      <c r="BE141">
        <v>1115</v>
      </c>
      <c r="BF141">
        <v>98</v>
      </c>
      <c r="BG141">
        <v>134</v>
      </c>
      <c r="BH141">
        <v>26</v>
      </c>
      <c r="BI141">
        <v>39</v>
      </c>
      <c r="BJ141">
        <v>0</v>
      </c>
      <c r="BK141">
        <v>632</v>
      </c>
      <c r="BL141">
        <v>0</v>
      </c>
      <c r="BM141">
        <v>182</v>
      </c>
      <c r="BN141">
        <v>187</v>
      </c>
      <c r="BO141">
        <v>818767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816</v>
      </c>
      <c r="CA141">
        <v>1276</v>
      </c>
      <c r="CB141">
        <v>323</v>
      </c>
      <c r="CC141">
        <v>21299</v>
      </c>
      <c r="CD141">
        <v>3022</v>
      </c>
      <c r="CE141">
        <v>13097</v>
      </c>
      <c r="CF141">
        <v>14</v>
      </c>
      <c r="CG141">
        <v>8</v>
      </c>
      <c r="CH141">
        <v>590</v>
      </c>
      <c r="CI141">
        <v>414</v>
      </c>
      <c r="CJ141">
        <v>0</v>
      </c>
      <c r="CK141">
        <v>91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686</v>
      </c>
      <c r="CR141">
        <v>353</v>
      </c>
      <c r="CS141">
        <v>0</v>
      </c>
      <c r="CT141">
        <v>333</v>
      </c>
      <c r="CU141">
        <v>40061</v>
      </c>
      <c r="CV141">
        <v>0</v>
      </c>
      <c r="CW141">
        <v>100</v>
      </c>
      <c r="CX141">
        <v>0</v>
      </c>
      <c r="CY141">
        <v>0</v>
      </c>
      <c r="CZ141">
        <v>0</v>
      </c>
      <c r="DA141">
        <v>0</v>
      </c>
      <c r="DB141">
        <v>102</v>
      </c>
      <c r="DC141">
        <v>0</v>
      </c>
      <c r="DD141">
        <v>0</v>
      </c>
      <c r="DE141">
        <v>102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14</v>
      </c>
      <c r="DL141">
        <v>52</v>
      </c>
      <c r="DM141">
        <v>69</v>
      </c>
      <c r="DN141">
        <v>0</v>
      </c>
      <c r="DO141">
        <v>0</v>
      </c>
      <c r="DP141">
        <v>387</v>
      </c>
      <c r="DQ141">
        <v>523</v>
      </c>
      <c r="DR141">
        <v>1875</v>
      </c>
      <c r="DS141">
        <v>0</v>
      </c>
      <c r="DT141">
        <v>0</v>
      </c>
      <c r="DU141">
        <v>0</v>
      </c>
      <c r="DV141">
        <v>0</v>
      </c>
      <c r="DW141">
        <v>-46</v>
      </c>
      <c r="DX141">
        <v>4499383</v>
      </c>
      <c r="DY141">
        <v>-1306</v>
      </c>
      <c r="DZ141">
        <v>3</v>
      </c>
      <c r="EA141">
        <v>1310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574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383</v>
      </c>
      <c r="EV141">
        <v>0</v>
      </c>
      <c r="EW141">
        <v>2332</v>
      </c>
      <c r="EX141">
        <v>2321</v>
      </c>
      <c r="EY141">
        <v>0</v>
      </c>
      <c r="EZ141">
        <v>0</v>
      </c>
      <c r="FA141">
        <v>0</v>
      </c>
    </row>
    <row r="142" spans="3:157" x14ac:dyDescent="0.3">
      <c r="C142" t="s">
        <v>1098</v>
      </c>
      <c r="D142">
        <v>4933</v>
      </c>
      <c r="E142">
        <v>217</v>
      </c>
      <c r="F142">
        <v>0</v>
      </c>
      <c r="G142">
        <v>2778</v>
      </c>
      <c r="H142">
        <v>1527</v>
      </c>
      <c r="I142">
        <v>2554</v>
      </c>
      <c r="J142">
        <v>5508</v>
      </c>
      <c r="K142">
        <v>0</v>
      </c>
      <c r="L142">
        <v>0</v>
      </c>
      <c r="M142">
        <v>52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259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414</v>
      </c>
      <c r="AD142">
        <v>45</v>
      </c>
      <c r="AE142">
        <v>0</v>
      </c>
      <c r="AF142">
        <v>0</v>
      </c>
      <c r="AG142">
        <v>0</v>
      </c>
      <c r="AH142">
        <v>85</v>
      </c>
      <c r="AI142">
        <v>150</v>
      </c>
      <c r="AJ142">
        <v>42</v>
      </c>
      <c r="AK142">
        <v>2</v>
      </c>
      <c r="AL142">
        <v>0</v>
      </c>
      <c r="AM142">
        <v>203</v>
      </c>
      <c r="AN142">
        <v>930</v>
      </c>
      <c r="AO142">
        <v>55993</v>
      </c>
      <c r="AP142">
        <v>-14</v>
      </c>
      <c r="AQ142">
        <v>1416</v>
      </c>
      <c r="AR142">
        <v>367</v>
      </c>
      <c r="AS142">
        <v>0</v>
      </c>
      <c r="AT142">
        <v>0</v>
      </c>
      <c r="AU142">
        <v>0</v>
      </c>
      <c r="AV142">
        <v>31</v>
      </c>
      <c r="AW142">
        <v>75</v>
      </c>
      <c r="AX142">
        <v>18</v>
      </c>
      <c r="AY142">
        <v>4</v>
      </c>
      <c r="AZ142">
        <v>0</v>
      </c>
      <c r="BA142">
        <v>56</v>
      </c>
      <c r="BB142">
        <v>0</v>
      </c>
      <c r="BC142">
        <v>99980</v>
      </c>
      <c r="BD142">
        <v>-117</v>
      </c>
      <c r="BE142">
        <v>1123</v>
      </c>
      <c r="BF142">
        <v>254</v>
      </c>
      <c r="BG142">
        <v>134</v>
      </c>
      <c r="BH142">
        <v>137</v>
      </c>
      <c r="BI142">
        <v>32</v>
      </c>
      <c r="BJ142">
        <v>0</v>
      </c>
      <c r="BK142">
        <v>670</v>
      </c>
      <c r="BL142">
        <v>0</v>
      </c>
      <c r="BM142">
        <v>149</v>
      </c>
      <c r="BN142">
        <v>144</v>
      </c>
      <c r="BO142">
        <v>819050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819</v>
      </c>
      <c r="CA142">
        <v>1281</v>
      </c>
      <c r="CB142">
        <v>268</v>
      </c>
      <c r="CC142">
        <v>17815</v>
      </c>
      <c r="CD142">
        <v>3040</v>
      </c>
      <c r="CE142">
        <v>4356</v>
      </c>
      <c r="CF142">
        <v>14</v>
      </c>
      <c r="CG142">
        <v>8</v>
      </c>
      <c r="CH142">
        <v>590</v>
      </c>
      <c r="CI142">
        <v>414</v>
      </c>
      <c r="CJ142">
        <v>0</v>
      </c>
      <c r="CK142">
        <v>197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1053</v>
      </c>
      <c r="CR142">
        <v>767</v>
      </c>
      <c r="CS142">
        <v>0</v>
      </c>
      <c r="CT142">
        <v>287</v>
      </c>
      <c r="CU142">
        <v>39755</v>
      </c>
      <c r="CV142">
        <v>1</v>
      </c>
      <c r="CW142">
        <v>100</v>
      </c>
      <c r="CX142">
        <v>0</v>
      </c>
      <c r="CY142">
        <v>0</v>
      </c>
      <c r="CZ142">
        <v>0</v>
      </c>
      <c r="DA142">
        <v>0</v>
      </c>
      <c r="DB142">
        <v>100</v>
      </c>
      <c r="DC142">
        <v>0</v>
      </c>
      <c r="DD142">
        <v>0</v>
      </c>
      <c r="DE142">
        <v>100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61</v>
      </c>
      <c r="DL142">
        <v>268</v>
      </c>
      <c r="DM142">
        <v>57</v>
      </c>
      <c r="DN142">
        <v>0</v>
      </c>
      <c r="DO142">
        <v>0</v>
      </c>
      <c r="DP142">
        <v>387</v>
      </c>
      <c r="DQ142">
        <v>773</v>
      </c>
      <c r="DR142">
        <v>1875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4499294</v>
      </c>
      <c r="DY142">
        <v>-1102</v>
      </c>
      <c r="DZ142">
        <v>7</v>
      </c>
      <c r="EA142">
        <v>1109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326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217</v>
      </c>
      <c r="EV142">
        <v>0</v>
      </c>
      <c r="EW142">
        <v>2332</v>
      </c>
      <c r="EX142">
        <v>2335</v>
      </c>
      <c r="EY142">
        <v>0</v>
      </c>
      <c r="EZ142">
        <v>0</v>
      </c>
      <c r="FA142">
        <v>0</v>
      </c>
    </row>
    <row r="143" spans="3:157" x14ac:dyDescent="0.3">
      <c r="C143" t="s">
        <v>1099</v>
      </c>
      <c r="D143">
        <v>5330</v>
      </c>
      <c r="E143">
        <v>151</v>
      </c>
      <c r="F143">
        <v>0</v>
      </c>
      <c r="G143">
        <v>3771</v>
      </c>
      <c r="H143">
        <v>2664</v>
      </c>
      <c r="I143">
        <v>3921</v>
      </c>
      <c r="J143">
        <v>2968</v>
      </c>
      <c r="K143">
        <v>0</v>
      </c>
      <c r="L143">
        <v>0</v>
      </c>
      <c r="M143">
        <v>71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168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465</v>
      </c>
      <c r="AD143">
        <v>45</v>
      </c>
      <c r="AE143">
        <v>0</v>
      </c>
      <c r="AF143">
        <v>0</v>
      </c>
      <c r="AG143">
        <v>0</v>
      </c>
      <c r="AH143">
        <v>149</v>
      </c>
      <c r="AI143">
        <v>374</v>
      </c>
      <c r="AJ143">
        <v>90</v>
      </c>
      <c r="AK143">
        <v>2</v>
      </c>
      <c r="AL143">
        <v>0</v>
      </c>
      <c r="AM143">
        <v>133</v>
      </c>
      <c r="AN143">
        <v>207</v>
      </c>
      <c r="AO143">
        <v>55919</v>
      </c>
      <c r="AP143">
        <v>-1</v>
      </c>
      <c r="AQ143">
        <v>2696</v>
      </c>
      <c r="AR143">
        <v>367</v>
      </c>
      <c r="AS143">
        <v>0</v>
      </c>
      <c r="AT143">
        <v>0</v>
      </c>
      <c r="AU143">
        <v>0</v>
      </c>
      <c r="AV143">
        <v>1</v>
      </c>
      <c r="AW143">
        <v>11</v>
      </c>
      <c r="AX143">
        <v>12</v>
      </c>
      <c r="AY143">
        <v>2</v>
      </c>
      <c r="AZ143">
        <v>0</v>
      </c>
      <c r="BA143">
        <v>35</v>
      </c>
      <c r="BB143">
        <v>0</v>
      </c>
      <c r="BC143">
        <v>100000</v>
      </c>
      <c r="BD143">
        <v>-610</v>
      </c>
      <c r="BE143">
        <v>1123</v>
      </c>
      <c r="BF143">
        <v>471</v>
      </c>
      <c r="BG143">
        <v>353</v>
      </c>
      <c r="BH143">
        <v>157</v>
      </c>
      <c r="BI143">
        <v>19</v>
      </c>
      <c r="BJ143">
        <v>0</v>
      </c>
      <c r="BK143">
        <v>690</v>
      </c>
      <c r="BL143">
        <v>0</v>
      </c>
      <c r="BM143">
        <v>143</v>
      </c>
      <c r="BN143">
        <v>351</v>
      </c>
      <c r="BO143">
        <v>788494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812</v>
      </c>
      <c r="CA143">
        <v>984</v>
      </c>
      <c r="CB143">
        <v>98</v>
      </c>
      <c r="CC143">
        <v>12309</v>
      </c>
      <c r="CD143">
        <v>3063</v>
      </c>
      <c r="CE143">
        <v>13131</v>
      </c>
      <c r="CF143">
        <v>14</v>
      </c>
      <c r="CG143">
        <v>8</v>
      </c>
      <c r="CH143">
        <v>590</v>
      </c>
      <c r="CI143">
        <v>414</v>
      </c>
      <c r="CJ143">
        <v>0</v>
      </c>
      <c r="CK143">
        <v>373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1569</v>
      </c>
      <c r="CR143">
        <v>1454</v>
      </c>
      <c r="CS143">
        <v>0</v>
      </c>
      <c r="CT143">
        <v>118</v>
      </c>
      <c r="CU143">
        <v>38475</v>
      </c>
      <c r="CV143">
        <v>4</v>
      </c>
      <c r="CW143">
        <v>100</v>
      </c>
      <c r="CX143">
        <v>0</v>
      </c>
      <c r="CY143">
        <v>0</v>
      </c>
      <c r="CZ143">
        <v>0</v>
      </c>
      <c r="DA143">
        <v>0</v>
      </c>
      <c r="DB143">
        <v>88</v>
      </c>
      <c r="DC143">
        <v>0</v>
      </c>
      <c r="DD143">
        <v>0</v>
      </c>
      <c r="DE143">
        <v>88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102</v>
      </c>
      <c r="DL143">
        <v>314</v>
      </c>
      <c r="DM143">
        <v>35</v>
      </c>
      <c r="DN143">
        <v>0</v>
      </c>
      <c r="DO143">
        <v>0</v>
      </c>
      <c r="DP143">
        <v>387</v>
      </c>
      <c r="DQ143">
        <v>837</v>
      </c>
      <c r="DR143">
        <v>1875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4499630</v>
      </c>
      <c r="DY143">
        <v>-1037</v>
      </c>
      <c r="DZ143">
        <v>8</v>
      </c>
      <c r="EA143">
        <v>1045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227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151</v>
      </c>
      <c r="EV143">
        <v>0</v>
      </c>
      <c r="EW143">
        <v>2333</v>
      </c>
      <c r="EX143">
        <v>2353</v>
      </c>
      <c r="EY143">
        <v>0</v>
      </c>
      <c r="EZ143">
        <v>0</v>
      </c>
      <c r="FA143">
        <v>0</v>
      </c>
    </row>
    <row r="144" spans="3:157" x14ac:dyDescent="0.3">
      <c r="C144" t="s">
        <v>1100</v>
      </c>
      <c r="D144">
        <v>5651</v>
      </c>
      <c r="E144">
        <v>143</v>
      </c>
      <c r="F144">
        <v>0</v>
      </c>
      <c r="G144">
        <v>4715</v>
      </c>
      <c r="H144">
        <v>2597</v>
      </c>
      <c r="I144">
        <v>3801</v>
      </c>
      <c r="J144">
        <v>1188</v>
      </c>
      <c r="K144">
        <v>0</v>
      </c>
      <c r="L144">
        <v>0</v>
      </c>
      <c r="M144">
        <v>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528</v>
      </c>
      <c r="AD144">
        <v>45</v>
      </c>
      <c r="AE144">
        <v>0</v>
      </c>
      <c r="AF144">
        <v>0</v>
      </c>
      <c r="AG144">
        <v>0</v>
      </c>
      <c r="AH144">
        <v>574</v>
      </c>
      <c r="AI144">
        <v>248</v>
      </c>
      <c r="AJ144">
        <v>82</v>
      </c>
      <c r="AK144">
        <v>3</v>
      </c>
      <c r="AL144">
        <v>0</v>
      </c>
      <c r="AM144">
        <v>82</v>
      </c>
      <c r="AN144">
        <v>63</v>
      </c>
      <c r="AO144">
        <v>55429</v>
      </c>
      <c r="AP144">
        <v>10</v>
      </c>
      <c r="AQ144">
        <v>2879</v>
      </c>
      <c r="AR144">
        <v>367</v>
      </c>
      <c r="AS144">
        <v>0</v>
      </c>
      <c r="AT144">
        <v>0</v>
      </c>
      <c r="AU144">
        <v>0</v>
      </c>
      <c r="AV144">
        <v>74</v>
      </c>
      <c r="AW144">
        <v>50</v>
      </c>
      <c r="AX144">
        <v>14</v>
      </c>
      <c r="AY144">
        <v>0</v>
      </c>
      <c r="AZ144">
        <v>0</v>
      </c>
      <c r="BA144">
        <v>22</v>
      </c>
      <c r="BB144">
        <v>0</v>
      </c>
      <c r="BC144">
        <v>99406</v>
      </c>
      <c r="BD144">
        <v>-263</v>
      </c>
      <c r="BE144">
        <v>1121</v>
      </c>
      <c r="BF144">
        <v>578</v>
      </c>
      <c r="BG144">
        <v>353</v>
      </c>
      <c r="BH144">
        <v>713</v>
      </c>
      <c r="BI144">
        <v>913</v>
      </c>
      <c r="BJ144">
        <v>108</v>
      </c>
      <c r="BK144">
        <v>765</v>
      </c>
      <c r="BL144">
        <v>0</v>
      </c>
      <c r="BM144">
        <v>9</v>
      </c>
      <c r="BN144">
        <v>932</v>
      </c>
      <c r="BO144">
        <v>192660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817</v>
      </c>
      <c r="CA144">
        <v>908</v>
      </c>
      <c r="CB144">
        <v>0</v>
      </c>
      <c r="CC144">
        <v>247</v>
      </c>
      <c r="CD144">
        <v>3007</v>
      </c>
      <c r="CE144">
        <v>3199</v>
      </c>
      <c r="CF144">
        <v>14</v>
      </c>
      <c r="CG144">
        <v>8</v>
      </c>
      <c r="CH144">
        <v>589</v>
      </c>
      <c r="CI144">
        <v>414</v>
      </c>
      <c r="CJ144">
        <v>0</v>
      </c>
      <c r="CK144">
        <v>502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2058</v>
      </c>
      <c r="CR144">
        <v>1957</v>
      </c>
      <c r="CS144">
        <v>0</v>
      </c>
      <c r="CT144">
        <v>55</v>
      </c>
      <c r="CU144">
        <v>16453</v>
      </c>
      <c r="CV144">
        <v>-46</v>
      </c>
      <c r="CW144">
        <v>100</v>
      </c>
      <c r="CX144">
        <v>0</v>
      </c>
      <c r="CY144">
        <v>0</v>
      </c>
      <c r="CZ144">
        <v>0</v>
      </c>
      <c r="DA144">
        <v>0</v>
      </c>
      <c r="DB144">
        <v>123</v>
      </c>
      <c r="DC144">
        <v>0</v>
      </c>
      <c r="DD144">
        <v>0</v>
      </c>
      <c r="DE144">
        <v>123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96</v>
      </c>
      <c r="DL144">
        <v>1413</v>
      </c>
      <c r="DM144">
        <v>1870</v>
      </c>
      <c r="DN144">
        <v>0</v>
      </c>
      <c r="DO144">
        <v>0</v>
      </c>
      <c r="DP144">
        <v>387</v>
      </c>
      <c r="DQ144">
        <v>3766</v>
      </c>
      <c r="DR144">
        <v>1875</v>
      </c>
      <c r="DS144">
        <v>0</v>
      </c>
      <c r="DT144">
        <v>0</v>
      </c>
      <c r="DU144">
        <v>0</v>
      </c>
      <c r="DV144">
        <v>0</v>
      </c>
      <c r="DW144">
        <v>1959</v>
      </c>
      <c r="DX144">
        <v>3814710</v>
      </c>
      <c r="DY144">
        <v>-68</v>
      </c>
      <c r="DZ144">
        <v>44</v>
      </c>
      <c r="EA144">
        <v>112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214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143</v>
      </c>
      <c r="EV144">
        <v>0</v>
      </c>
      <c r="EW144">
        <v>2332</v>
      </c>
      <c r="EX144">
        <v>2309</v>
      </c>
      <c r="EY144">
        <v>0</v>
      </c>
      <c r="EZ144">
        <v>0</v>
      </c>
      <c r="FA144">
        <v>0</v>
      </c>
    </row>
    <row r="145" spans="3:157" x14ac:dyDescent="0.3">
      <c r="C145" t="s">
        <v>1101</v>
      </c>
      <c r="D145">
        <v>5741</v>
      </c>
      <c r="E145">
        <v>119</v>
      </c>
      <c r="F145">
        <v>0</v>
      </c>
      <c r="G145">
        <v>5483</v>
      </c>
      <c r="H145">
        <v>3288</v>
      </c>
      <c r="I145">
        <v>4404</v>
      </c>
      <c r="J145">
        <v>491</v>
      </c>
      <c r="K145">
        <v>0</v>
      </c>
      <c r="L145">
        <v>0</v>
      </c>
      <c r="M145">
        <v>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576</v>
      </c>
      <c r="AD145">
        <v>45</v>
      </c>
      <c r="AE145">
        <v>0</v>
      </c>
      <c r="AF145">
        <v>0</v>
      </c>
      <c r="AG145">
        <v>0</v>
      </c>
      <c r="AH145">
        <v>708</v>
      </c>
      <c r="AI145">
        <v>434</v>
      </c>
      <c r="AJ145">
        <v>10</v>
      </c>
      <c r="AK145">
        <v>3</v>
      </c>
      <c r="AL145">
        <v>0</v>
      </c>
      <c r="AM145">
        <v>49</v>
      </c>
      <c r="AN145">
        <v>19</v>
      </c>
      <c r="AO145">
        <v>49127</v>
      </c>
      <c r="AP145">
        <v>4</v>
      </c>
      <c r="AQ145">
        <v>3022</v>
      </c>
      <c r="AR145">
        <v>367</v>
      </c>
      <c r="AS145">
        <v>0</v>
      </c>
      <c r="AT145">
        <v>0</v>
      </c>
      <c r="AU145">
        <v>0</v>
      </c>
      <c r="AV145">
        <v>263</v>
      </c>
      <c r="AW145">
        <v>846</v>
      </c>
      <c r="AX145">
        <v>27</v>
      </c>
      <c r="AY145">
        <v>0</v>
      </c>
      <c r="AZ145">
        <v>0</v>
      </c>
      <c r="BA145">
        <v>13</v>
      </c>
      <c r="BB145">
        <v>0</v>
      </c>
      <c r="BC145">
        <v>99501</v>
      </c>
      <c r="BD145">
        <v>-884</v>
      </c>
      <c r="BE145">
        <v>1122</v>
      </c>
      <c r="BF145">
        <v>957</v>
      </c>
      <c r="BG145">
        <v>353</v>
      </c>
      <c r="BH145">
        <v>1148</v>
      </c>
      <c r="BI145">
        <v>1232</v>
      </c>
      <c r="BJ145">
        <v>171</v>
      </c>
      <c r="BK145">
        <v>765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816</v>
      </c>
      <c r="CA145">
        <v>907</v>
      </c>
      <c r="CB145">
        <v>0</v>
      </c>
      <c r="CC145">
        <v>66</v>
      </c>
      <c r="CD145">
        <v>3037</v>
      </c>
      <c r="CE145">
        <v>129</v>
      </c>
      <c r="CF145">
        <v>14</v>
      </c>
      <c r="CG145">
        <v>8</v>
      </c>
      <c r="CH145">
        <v>591</v>
      </c>
      <c r="CI145">
        <v>414</v>
      </c>
      <c r="CJ145">
        <v>0</v>
      </c>
      <c r="CK145">
        <v>629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2457</v>
      </c>
      <c r="CR145">
        <v>2452</v>
      </c>
      <c r="CS145">
        <v>0</v>
      </c>
      <c r="CT145">
        <v>23</v>
      </c>
      <c r="CU145">
        <v>5048</v>
      </c>
      <c r="CV145">
        <v>17</v>
      </c>
      <c r="CW145">
        <v>100</v>
      </c>
      <c r="CX145">
        <v>0</v>
      </c>
      <c r="CY145">
        <v>0</v>
      </c>
      <c r="CZ145">
        <v>0</v>
      </c>
      <c r="DA145">
        <v>0</v>
      </c>
      <c r="DB145">
        <v>102</v>
      </c>
      <c r="DC145">
        <v>0</v>
      </c>
      <c r="DD145">
        <v>0</v>
      </c>
      <c r="DE145">
        <v>102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36</v>
      </c>
      <c r="DL145">
        <v>2250</v>
      </c>
      <c r="DM145">
        <v>2579</v>
      </c>
      <c r="DN145">
        <v>0</v>
      </c>
      <c r="DO145">
        <v>0</v>
      </c>
      <c r="DP145">
        <v>387</v>
      </c>
      <c r="DQ145">
        <v>5252</v>
      </c>
      <c r="DR145">
        <v>1875</v>
      </c>
      <c r="DS145">
        <v>0</v>
      </c>
      <c r="DT145">
        <v>0</v>
      </c>
      <c r="DU145">
        <v>0</v>
      </c>
      <c r="DV145">
        <v>0</v>
      </c>
      <c r="DW145">
        <v>3328</v>
      </c>
      <c r="DX145">
        <v>1583795</v>
      </c>
      <c r="DY145">
        <v>50</v>
      </c>
      <c r="DZ145">
        <v>50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178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119</v>
      </c>
      <c r="EV145">
        <v>0</v>
      </c>
      <c r="EW145">
        <v>2333</v>
      </c>
      <c r="EX145">
        <v>2333</v>
      </c>
      <c r="EY145">
        <v>0</v>
      </c>
      <c r="EZ145">
        <v>0</v>
      </c>
      <c r="FA145">
        <v>0</v>
      </c>
    </row>
    <row r="147" spans="3:157" x14ac:dyDescent="0.3">
      <c r="C147" t="s">
        <v>1102</v>
      </c>
      <c r="D147">
        <v>5208</v>
      </c>
      <c r="E147">
        <v>186</v>
      </c>
      <c r="F147">
        <v>0</v>
      </c>
      <c r="G147">
        <v>4056</v>
      </c>
      <c r="H147">
        <v>2107</v>
      </c>
      <c r="I147">
        <v>3087</v>
      </c>
      <c r="J147">
        <v>4081</v>
      </c>
      <c r="K147">
        <v>0</v>
      </c>
      <c r="L147">
        <v>0</v>
      </c>
      <c r="M147">
        <v>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236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484</v>
      </c>
      <c r="AD147">
        <v>45</v>
      </c>
      <c r="AE147">
        <v>0</v>
      </c>
      <c r="AF147">
        <v>0</v>
      </c>
      <c r="AG147">
        <v>0</v>
      </c>
      <c r="AH147">
        <v>265</v>
      </c>
      <c r="AI147">
        <v>336</v>
      </c>
      <c r="AJ147">
        <v>48</v>
      </c>
      <c r="AK147">
        <v>4</v>
      </c>
      <c r="AL147">
        <v>0</v>
      </c>
      <c r="AM147">
        <v>185</v>
      </c>
      <c r="AN147">
        <v>1080</v>
      </c>
      <c r="AO147">
        <v>54421</v>
      </c>
      <c r="AP147">
        <v>-15</v>
      </c>
      <c r="AQ147">
        <v>2278</v>
      </c>
      <c r="AR147">
        <v>367</v>
      </c>
      <c r="AS147">
        <v>0</v>
      </c>
      <c r="AT147">
        <v>0</v>
      </c>
      <c r="AU147">
        <v>0</v>
      </c>
      <c r="AV147">
        <v>70</v>
      </c>
      <c r="AW147">
        <v>208</v>
      </c>
      <c r="AX147">
        <v>17</v>
      </c>
      <c r="AY147">
        <v>4</v>
      </c>
      <c r="AZ147">
        <v>0</v>
      </c>
      <c r="BA147">
        <v>51</v>
      </c>
      <c r="BB147">
        <v>0</v>
      </c>
      <c r="BC147">
        <v>97659</v>
      </c>
      <c r="BD147">
        <v>-291</v>
      </c>
      <c r="BE147">
        <v>1121</v>
      </c>
      <c r="BF147">
        <v>519</v>
      </c>
      <c r="BG147">
        <v>262</v>
      </c>
      <c r="BH147">
        <v>385</v>
      </c>
      <c r="BI147">
        <v>329</v>
      </c>
      <c r="BJ147">
        <v>57</v>
      </c>
      <c r="BK147">
        <v>676</v>
      </c>
      <c r="BL147">
        <v>0</v>
      </c>
      <c r="BM147">
        <v>167</v>
      </c>
      <c r="BN147">
        <v>167</v>
      </c>
      <c r="BO147">
        <v>503130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816</v>
      </c>
      <c r="CA147">
        <v>1053</v>
      </c>
      <c r="CB147">
        <v>119</v>
      </c>
      <c r="CC147">
        <v>15406</v>
      </c>
      <c r="CD147">
        <v>3037</v>
      </c>
      <c r="CE147">
        <v>16732</v>
      </c>
      <c r="CF147">
        <v>14</v>
      </c>
      <c r="CG147">
        <v>8</v>
      </c>
      <c r="CH147">
        <v>590</v>
      </c>
      <c r="CI147">
        <v>414</v>
      </c>
      <c r="CJ147">
        <v>0</v>
      </c>
      <c r="CK147">
        <v>380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1717</v>
      </c>
      <c r="CR147">
        <v>1481</v>
      </c>
      <c r="CS147">
        <v>0</v>
      </c>
      <c r="CT147">
        <v>236</v>
      </c>
      <c r="CU147">
        <v>30997</v>
      </c>
      <c r="CV147">
        <v>0</v>
      </c>
      <c r="CW147">
        <v>100</v>
      </c>
      <c r="CX147">
        <v>0</v>
      </c>
      <c r="CY147">
        <v>0</v>
      </c>
      <c r="CZ147">
        <v>0</v>
      </c>
      <c r="DA147">
        <v>0</v>
      </c>
      <c r="DB147">
        <v>103</v>
      </c>
      <c r="DC147">
        <v>0</v>
      </c>
      <c r="DD147">
        <v>0</v>
      </c>
      <c r="DE147">
        <v>103</v>
      </c>
      <c r="DF147">
        <v>0</v>
      </c>
      <c r="DG147">
        <v>155</v>
      </c>
      <c r="DH147">
        <v>59</v>
      </c>
      <c r="DI147" t="s">
        <v>1103</v>
      </c>
      <c r="DJ147">
        <v>0</v>
      </c>
      <c r="DK147">
        <v>65</v>
      </c>
      <c r="DL147">
        <v>758</v>
      </c>
      <c r="DM147">
        <v>714</v>
      </c>
      <c r="DN147">
        <v>0</v>
      </c>
      <c r="DO147">
        <v>0</v>
      </c>
      <c r="DP147">
        <v>387</v>
      </c>
      <c r="DQ147">
        <v>1924</v>
      </c>
      <c r="DR147">
        <v>1875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2405229</v>
      </c>
      <c r="DY147">
        <v>50</v>
      </c>
      <c r="DZ147">
        <v>349</v>
      </c>
      <c r="EA147">
        <v>300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278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186</v>
      </c>
      <c r="EV147">
        <v>0</v>
      </c>
      <c r="EW147">
        <v>2333</v>
      </c>
      <c r="EX147">
        <v>2333</v>
      </c>
      <c r="EY147">
        <v>0</v>
      </c>
      <c r="EZ147">
        <v>0</v>
      </c>
      <c r="FA147">
        <v>0</v>
      </c>
    </row>
    <row r="148" spans="3:157" x14ac:dyDescent="0.3">
      <c r="C148" t="s">
        <v>1104</v>
      </c>
      <c r="D148">
        <v>6610</v>
      </c>
      <c r="E148">
        <v>1052</v>
      </c>
      <c r="F148">
        <v>0</v>
      </c>
      <c r="G148">
        <v>10059</v>
      </c>
      <c r="H148">
        <v>5150</v>
      </c>
      <c r="I148">
        <v>6287</v>
      </c>
      <c r="J148">
        <v>22294</v>
      </c>
      <c r="K148">
        <v>0</v>
      </c>
      <c r="L148">
        <v>0</v>
      </c>
      <c r="M148">
        <v>132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1984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847</v>
      </c>
      <c r="AD148">
        <v>45</v>
      </c>
      <c r="AE148">
        <v>0</v>
      </c>
      <c r="AF148">
        <v>0</v>
      </c>
      <c r="AG148">
        <v>0</v>
      </c>
      <c r="AH148">
        <v>1403</v>
      </c>
      <c r="AI148">
        <v>2730</v>
      </c>
      <c r="AJ148">
        <v>1409</v>
      </c>
      <c r="AK148">
        <v>500</v>
      </c>
      <c r="AL148">
        <v>0</v>
      </c>
      <c r="AM148">
        <v>1491</v>
      </c>
      <c r="AN148">
        <v>10000</v>
      </c>
      <c r="AO148">
        <v>56000</v>
      </c>
      <c r="AP148">
        <v>2025</v>
      </c>
      <c r="AQ148">
        <v>3843</v>
      </c>
      <c r="AR148">
        <v>367</v>
      </c>
      <c r="AS148">
        <v>0</v>
      </c>
      <c r="AT148">
        <v>0</v>
      </c>
      <c r="AU148">
        <v>0</v>
      </c>
      <c r="AV148">
        <v>1700</v>
      </c>
      <c r="AW148">
        <v>6240</v>
      </c>
      <c r="AX148">
        <v>1714</v>
      </c>
      <c r="AY148">
        <v>1000</v>
      </c>
      <c r="AZ148">
        <v>0</v>
      </c>
      <c r="BA148">
        <v>630</v>
      </c>
      <c r="BB148">
        <v>0</v>
      </c>
      <c r="BC148">
        <v>100000</v>
      </c>
      <c r="BD148">
        <v>2480</v>
      </c>
      <c r="BE148">
        <v>2327</v>
      </c>
      <c r="BF148">
        <v>3413</v>
      </c>
      <c r="BG148">
        <v>353</v>
      </c>
      <c r="BH148">
        <v>4111</v>
      </c>
      <c r="BI148">
        <v>3100</v>
      </c>
      <c r="BJ148">
        <v>5386</v>
      </c>
      <c r="BK148">
        <v>900</v>
      </c>
      <c r="BL148">
        <v>0</v>
      </c>
      <c r="BM148">
        <v>6000</v>
      </c>
      <c r="BN148">
        <v>3100</v>
      </c>
      <c r="BO148">
        <v>820000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1658</v>
      </c>
      <c r="CA148">
        <v>4116</v>
      </c>
      <c r="CB148">
        <v>4191</v>
      </c>
      <c r="CC148">
        <v>36564</v>
      </c>
      <c r="CD148">
        <v>4330</v>
      </c>
      <c r="CE148">
        <v>142395</v>
      </c>
      <c r="CF148">
        <v>16</v>
      </c>
      <c r="CG148">
        <v>8</v>
      </c>
      <c r="CH148">
        <v>696</v>
      </c>
      <c r="CI148">
        <v>414</v>
      </c>
      <c r="CJ148">
        <v>0</v>
      </c>
      <c r="CK148">
        <v>1581</v>
      </c>
      <c r="CL148">
        <v>468</v>
      </c>
      <c r="CM148">
        <v>0</v>
      </c>
      <c r="CN148">
        <v>0</v>
      </c>
      <c r="CO148">
        <v>0</v>
      </c>
      <c r="CP148">
        <v>0</v>
      </c>
      <c r="CQ148">
        <v>4825</v>
      </c>
      <c r="CR148">
        <v>4810</v>
      </c>
      <c r="CS148">
        <v>0</v>
      </c>
      <c r="CT148">
        <v>1811</v>
      </c>
      <c r="CU148">
        <v>41202</v>
      </c>
      <c r="CV148">
        <v>4327</v>
      </c>
      <c r="CW148">
        <v>100</v>
      </c>
      <c r="CX148">
        <v>0</v>
      </c>
      <c r="CY148">
        <v>0</v>
      </c>
      <c r="CZ148">
        <v>0</v>
      </c>
      <c r="DA148">
        <v>0</v>
      </c>
      <c r="DB148">
        <v>696</v>
      </c>
      <c r="DC148">
        <v>0</v>
      </c>
      <c r="DD148">
        <v>0</v>
      </c>
      <c r="DE148">
        <v>696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2535</v>
      </c>
      <c r="DL148">
        <v>7922</v>
      </c>
      <c r="DM148">
        <v>17320</v>
      </c>
      <c r="DN148">
        <v>0</v>
      </c>
      <c r="DO148">
        <v>0</v>
      </c>
      <c r="DP148">
        <v>387</v>
      </c>
      <c r="DQ148">
        <v>20291</v>
      </c>
      <c r="DR148">
        <v>1875</v>
      </c>
      <c r="DS148">
        <v>0</v>
      </c>
      <c r="DT148">
        <v>0</v>
      </c>
      <c r="DU148">
        <v>0</v>
      </c>
      <c r="DV148">
        <v>0</v>
      </c>
      <c r="DW148">
        <v>17553</v>
      </c>
      <c r="DX148">
        <v>4500000</v>
      </c>
      <c r="DY148">
        <v>18416</v>
      </c>
      <c r="DZ148">
        <v>18416</v>
      </c>
      <c r="EA148">
        <v>1488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1579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1052</v>
      </c>
      <c r="EV148">
        <v>0</v>
      </c>
      <c r="EW148">
        <v>2462</v>
      </c>
      <c r="EX148">
        <v>3325</v>
      </c>
      <c r="EY148">
        <v>0</v>
      </c>
      <c r="EZ148">
        <v>0</v>
      </c>
      <c r="FA148">
        <v>0</v>
      </c>
    </row>
    <row r="149" spans="3:157" x14ac:dyDescent="0.3">
      <c r="C149" t="s">
        <v>1105</v>
      </c>
      <c r="D149">
        <v>3745</v>
      </c>
      <c r="E149">
        <v>56</v>
      </c>
      <c r="F149">
        <v>0</v>
      </c>
      <c r="G149">
        <v>1906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286</v>
      </c>
      <c r="AD149">
        <v>45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14707</v>
      </c>
      <c r="AP149">
        <v>-2598</v>
      </c>
      <c r="AQ149">
        <v>885</v>
      </c>
      <c r="AR149">
        <v>367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5626</v>
      </c>
      <c r="BD149">
        <v>-6377</v>
      </c>
      <c r="BE149">
        <v>812</v>
      </c>
      <c r="BF149">
        <v>0</v>
      </c>
      <c r="BG149">
        <v>134</v>
      </c>
      <c r="BH149">
        <v>0</v>
      </c>
      <c r="BI149">
        <v>0</v>
      </c>
      <c r="BJ149">
        <v>0</v>
      </c>
      <c r="BK149">
        <v>200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17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14</v>
      </c>
      <c r="CG149">
        <v>8</v>
      </c>
      <c r="CH149">
        <v>589</v>
      </c>
      <c r="CI149">
        <v>414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601</v>
      </c>
      <c r="CR149">
        <v>0</v>
      </c>
      <c r="CS149">
        <v>0</v>
      </c>
      <c r="CT149">
        <v>0</v>
      </c>
      <c r="CU149">
        <v>0</v>
      </c>
      <c r="CV149">
        <v>-3228</v>
      </c>
      <c r="CW149">
        <v>100</v>
      </c>
      <c r="CX149">
        <v>0</v>
      </c>
      <c r="CY149">
        <v>0</v>
      </c>
      <c r="CZ149">
        <v>0</v>
      </c>
      <c r="DA149">
        <v>0</v>
      </c>
      <c r="DB149">
        <v>-81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387</v>
      </c>
      <c r="DQ149">
        <v>387</v>
      </c>
      <c r="DR149">
        <v>1875</v>
      </c>
      <c r="DS149">
        <v>0</v>
      </c>
      <c r="DT149">
        <v>0</v>
      </c>
      <c r="DU149">
        <v>0</v>
      </c>
      <c r="DV149">
        <v>0</v>
      </c>
      <c r="DW149">
        <v>-1537</v>
      </c>
      <c r="DX149">
        <v>0</v>
      </c>
      <c r="DY149">
        <v>-1488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84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56</v>
      </c>
      <c r="EV149">
        <v>0</v>
      </c>
      <c r="EW149">
        <v>2196</v>
      </c>
      <c r="EX149">
        <v>0</v>
      </c>
      <c r="EY149">
        <v>0</v>
      </c>
      <c r="EZ149">
        <v>0</v>
      </c>
      <c r="FA1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1"/>
  <sheetViews>
    <sheetView topLeftCell="C1" zoomScale="115" zoomScaleNormal="115" workbookViewId="0">
      <selection activeCell="I14" sqref="A14:I17"/>
    </sheetView>
  </sheetViews>
  <sheetFormatPr defaultRowHeight="15.05" x14ac:dyDescent="0.3"/>
  <cols>
    <col min="1" max="1" width="22.33203125" bestFit="1" customWidth="1"/>
    <col min="2" max="2" width="26.6640625" bestFit="1" customWidth="1"/>
    <col min="3" max="3" width="44.33203125" bestFit="1" customWidth="1"/>
    <col min="4" max="4" width="10.6640625" customWidth="1"/>
    <col min="5" max="5" width="11.6640625" bestFit="1" customWidth="1"/>
    <col min="6" max="6" width="15.33203125" bestFit="1" customWidth="1"/>
    <col min="7" max="7" width="20.6640625" bestFit="1" customWidth="1"/>
    <col min="8" max="8" width="15.33203125" bestFit="1" customWidth="1"/>
    <col min="9" max="9" width="16.5546875" customWidth="1"/>
    <col min="10" max="10" width="18.109375" bestFit="1" customWidth="1"/>
    <col min="11" max="12" width="20" bestFit="1" customWidth="1"/>
  </cols>
  <sheetData>
    <row r="1" spans="1:12" ht="16.3" customHeight="1" x14ac:dyDescent="0.3">
      <c r="A1" s="1" t="s">
        <v>40</v>
      </c>
      <c r="B1" s="1" t="s">
        <v>115</v>
      </c>
      <c r="C1" s="1" t="s">
        <v>4</v>
      </c>
      <c r="D1" s="4" t="s">
        <v>6</v>
      </c>
      <c r="E1" s="4" t="s">
        <v>8</v>
      </c>
      <c r="F1" s="4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 spans="1:12" x14ac:dyDescent="0.3">
      <c r="A2" t="s">
        <v>74</v>
      </c>
      <c r="B2" t="s">
        <v>191</v>
      </c>
      <c r="C2" t="s">
        <v>192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</row>
    <row r="3" spans="1:12" x14ac:dyDescent="0.3">
      <c r="A3" t="s">
        <v>74</v>
      </c>
      <c r="B3" t="s">
        <v>193</v>
      </c>
      <c r="C3" t="s">
        <v>194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</row>
    <row r="4" spans="1:12" x14ac:dyDescent="0.3">
      <c r="A4" t="s">
        <v>74</v>
      </c>
      <c r="B4" t="s">
        <v>195</v>
      </c>
      <c r="C4" t="s">
        <v>196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</row>
    <row r="5" spans="1:12" x14ac:dyDescent="0.3">
      <c r="A5" t="s">
        <v>74</v>
      </c>
      <c r="B5" t="s">
        <v>197</v>
      </c>
      <c r="C5" t="s">
        <v>198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</row>
    <row r="6" spans="1:12" x14ac:dyDescent="0.3">
      <c r="A6" t="s">
        <v>74</v>
      </c>
      <c r="B6" t="s">
        <v>199</v>
      </c>
      <c r="C6" t="s">
        <v>200</v>
      </c>
      <c r="D6" s="2" t="s">
        <v>45</v>
      </c>
      <c r="E6" s="2" t="s">
        <v>45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</row>
    <row r="7" spans="1:12" x14ac:dyDescent="0.3">
      <c r="A7" t="s">
        <v>74</v>
      </c>
      <c r="B7" t="s">
        <v>201</v>
      </c>
      <c r="C7" t="s">
        <v>202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</row>
    <row r="8" spans="1:12" x14ac:dyDescent="0.3">
      <c r="A8" t="s">
        <v>74</v>
      </c>
      <c r="B8" t="s">
        <v>203</v>
      </c>
      <c r="C8" t="s">
        <v>204</v>
      </c>
      <c r="D8" s="2" t="s">
        <v>45</v>
      </c>
      <c r="E8" s="2" t="s">
        <v>45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</row>
    <row r="9" spans="1:12" x14ac:dyDescent="0.3">
      <c r="A9" t="s">
        <v>74</v>
      </c>
      <c r="B9" t="s">
        <v>205</v>
      </c>
      <c r="C9" t="s">
        <v>206</v>
      </c>
      <c r="D9" s="2" t="s">
        <v>45</v>
      </c>
      <c r="E9" s="2" t="s">
        <v>45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</row>
    <row r="10" spans="1:12" x14ac:dyDescent="0.3">
      <c r="A10" t="s">
        <v>74</v>
      </c>
      <c r="B10" t="s">
        <v>207</v>
      </c>
      <c r="C10" t="s">
        <v>208</v>
      </c>
      <c r="D10" s="2" t="s">
        <v>45</v>
      </c>
      <c r="E10" s="2" t="s">
        <v>45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</row>
    <row r="11" spans="1:12" x14ac:dyDescent="0.3">
      <c r="A11" t="s">
        <v>78</v>
      </c>
      <c r="B11" t="s">
        <v>209</v>
      </c>
      <c r="C11" t="s">
        <v>210</v>
      </c>
      <c r="D11" s="2" t="s">
        <v>45</v>
      </c>
      <c r="E11" s="2" t="s">
        <v>45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</row>
    <row r="12" spans="1:12" x14ac:dyDescent="0.3">
      <c r="A12" t="s">
        <v>78</v>
      </c>
      <c r="B12" t="s">
        <v>211</v>
      </c>
      <c r="C12" t="s">
        <v>212</v>
      </c>
      <c r="D12" s="2" t="s">
        <v>45</v>
      </c>
      <c r="E12" s="2" t="s">
        <v>45</v>
      </c>
      <c r="F12" s="3" t="s">
        <v>213</v>
      </c>
      <c r="G12" s="2" t="s">
        <v>45</v>
      </c>
      <c r="H12" s="3" t="s">
        <v>214</v>
      </c>
      <c r="I12" s="3" t="s">
        <v>213</v>
      </c>
      <c r="J12" s="2" t="s">
        <v>45</v>
      </c>
    </row>
    <row r="13" spans="1:12" x14ac:dyDescent="0.3">
      <c r="A13" t="s">
        <v>78</v>
      </c>
      <c r="B13" t="s">
        <v>215</v>
      </c>
      <c r="C13" t="s">
        <v>166</v>
      </c>
      <c r="D13" s="2" t="s">
        <v>45</v>
      </c>
      <c r="E13" s="2" t="s">
        <v>45</v>
      </c>
      <c r="F13" s="3">
        <v>1</v>
      </c>
      <c r="G13" s="2" t="s">
        <v>45</v>
      </c>
      <c r="H13" s="2" t="s">
        <v>45</v>
      </c>
      <c r="I13" s="2" t="s">
        <v>45</v>
      </c>
      <c r="J13" s="2" t="s">
        <v>45</v>
      </c>
    </row>
    <row r="14" spans="1:12" x14ac:dyDescent="0.3">
      <c r="A14" t="s">
        <v>78</v>
      </c>
      <c r="B14" t="s">
        <v>216</v>
      </c>
      <c r="C14" t="s">
        <v>217</v>
      </c>
      <c r="D14" s="2" t="s">
        <v>45</v>
      </c>
      <c r="E14" s="2" t="s">
        <v>45</v>
      </c>
      <c r="F14" s="2" t="s">
        <v>45</v>
      </c>
      <c r="G14" s="2" t="s">
        <v>45</v>
      </c>
      <c r="H14" s="2" t="s">
        <v>45</v>
      </c>
      <c r="I14" s="3" t="s">
        <v>218</v>
      </c>
      <c r="J14" s="3" t="s">
        <v>218</v>
      </c>
      <c r="K14" t="s">
        <v>219</v>
      </c>
      <c r="L14" t="s">
        <v>220</v>
      </c>
    </row>
    <row r="15" spans="1:12" x14ac:dyDescent="0.3">
      <c r="A15" t="s">
        <v>86</v>
      </c>
      <c r="B15" t="s">
        <v>221</v>
      </c>
      <c r="C15" t="s">
        <v>222</v>
      </c>
      <c r="D15" s="2" t="s">
        <v>45</v>
      </c>
      <c r="E15" s="3" t="s">
        <v>223</v>
      </c>
      <c r="F15" s="2" t="s">
        <v>45</v>
      </c>
      <c r="G15" s="2" t="s">
        <v>45</v>
      </c>
      <c r="H15" s="2" t="s">
        <v>45</v>
      </c>
      <c r="I15" s="3">
        <v>5150</v>
      </c>
      <c r="J15" s="3">
        <v>5150</v>
      </c>
      <c r="K15" t="s">
        <v>224</v>
      </c>
    </row>
    <row r="16" spans="1:12" x14ac:dyDescent="0.3">
      <c r="A16" t="s">
        <v>86</v>
      </c>
      <c r="B16" t="s">
        <v>90</v>
      </c>
      <c r="C16" t="s">
        <v>225</v>
      </c>
      <c r="D16" s="2" t="s">
        <v>45</v>
      </c>
      <c r="E16" s="3" t="s">
        <v>226</v>
      </c>
      <c r="F16" s="3">
        <v>14000</v>
      </c>
      <c r="G16" s="2" t="s">
        <v>45</v>
      </c>
      <c r="H16" s="3" t="s">
        <v>227</v>
      </c>
      <c r="I16" s="3">
        <f>3487+4800</f>
        <v>8287</v>
      </c>
      <c r="J16" s="3">
        <f>3487+2800</f>
        <v>6287</v>
      </c>
      <c r="K16" t="s">
        <v>228</v>
      </c>
      <c r="L16" t="s">
        <v>229</v>
      </c>
    </row>
    <row r="17" spans="1:12" x14ac:dyDescent="0.3">
      <c r="A17" t="s">
        <v>86</v>
      </c>
      <c r="B17" t="s">
        <v>230</v>
      </c>
      <c r="C17" t="s">
        <v>231</v>
      </c>
      <c r="D17" s="2" t="s">
        <v>45</v>
      </c>
      <c r="E17" s="2" t="s">
        <v>45</v>
      </c>
      <c r="F17" s="2" t="s">
        <v>45</v>
      </c>
      <c r="G17" s="2" t="s">
        <v>45</v>
      </c>
      <c r="H17" s="2" t="s">
        <v>45</v>
      </c>
      <c r="I17" s="3">
        <v>25134</v>
      </c>
      <c r="J17" s="3">
        <v>25134</v>
      </c>
      <c r="K17" t="s">
        <v>224</v>
      </c>
      <c r="L17" t="s">
        <v>224</v>
      </c>
    </row>
    <row r="18" spans="1:12" x14ac:dyDescent="0.3">
      <c r="A18" t="s">
        <v>86</v>
      </c>
      <c r="B18" t="s">
        <v>221</v>
      </c>
      <c r="C18" t="s">
        <v>232</v>
      </c>
      <c r="D18" s="2" t="s">
        <v>45</v>
      </c>
      <c r="E18" s="2" t="s">
        <v>45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</row>
    <row r="19" spans="1:12" x14ac:dyDescent="0.3">
      <c r="A19" t="s">
        <v>86</v>
      </c>
      <c r="B19" t="s">
        <v>233</v>
      </c>
      <c r="C19" t="s">
        <v>234</v>
      </c>
      <c r="D19" s="2" t="s">
        <v>45</v>
      </c>
      <c r="E19" s="2" t="s">
        <v>45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</row>
    <row r="20" spans="1:12" x14ac:dyDescent="0.3">
      <c r="A20" t="s">
        <v>103</v>
      </c>
      <c r="B20" t="s">
        <v>235</v>
      </c>
      <c r="C20" t="s">
        <v>236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</row>
    <row r="21" spans="1:12" x14ac:dyDescent="0.3">
      <c r="A21" t="s">
        <v>103</v>
      </c>
      <c r="B21" t="s">
        <v>237</v>
      </c>
      <c r="C21" t="s">
        <v>238</v>
      </c>
      <c r="D21" s="2" t="s">
        <v>45</v>
      </c>
      <c r="E21" s="2" t="s">
        <v>45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</row>
    <row r="22" spans="1:12" x14ac:dyDescent="0.3">
      <c r="A22" t="s">
        <v>103</v>
      </c>
      <c r="B22" t="s">
        <v>239</v>
      </c>
      <c r="C22" t="s">
        <v>240</v>
      </c>
      <c r="D22" s="2" t="s">
        <v>45</v>
      </c>
      <c r="E22" s="2" t="s">
        <v>45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</row>
    <row r="23" spans="1:12" x14ac:dyDescent="0.3">
      <c r="A23" t="s">
        <v>103</v>
      </c>
      <c r="B23" t="s">
        <v>241</v>
      </c>
      <c r="C23" t="s">
        <v>242</v>
      </c>
      <c r="D23" s="2" t="s">
        <v>45</v>
      </c>
      <c r="E23" s="2" t="s">
        <v>45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</row>
    <row r="24" spans="1:12" x14ac:dyDescent="0.3">
      <c r="A24" t="s">
        <v>103</v>
      </c>
      <c r="B24" t="s">
        <v>243</v>
      </c>
      <c r="C24" t="s">
        <v>244</v>
      </c>
      <c r="D24" s="2" t="s">
        <v>45</v>
      </c>
      <c r="E24" s="2" t="s">
        <v>45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</row>
    <row r="25" spans="1:12" x14ac:dyDescent="0.3">
      <c r="A25" t="s">
        <v>103</v>
      </c>
      <c r="B25" t="s">
        <v>245</v>
      </c>
      <c r="C25" t="s">
        <v>246</v>
      </c>
      <c r="D25" s="2" t="s">
        <v>45</v>
      </c>
      <c r="E25" s="2" t="s">
        <v>45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</row>
    <row r="26" spans="1:12" x14ac:dyDescent="0.3">
      <c r="A26" t="s">
        <v>103</v>
      </c>
      <c r="B26" t="s">
        <v>247</v>
      </c>
      <c r="C26" t="s">
        <v>248</v>
      </c>
      <c r="D26" s="2" t="s">
        <v>45</v>
      </c>
      <c r="E26" s="2" t="s">
        <v>45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</row>
    <row r="27" spans="1:12" x14ac:dyDescent="0.3">
      <c r="A27" t="s">
        <v>103</v>
      </c>
      <c r="B27" t="s">
        <v>249</v>
      </c>
      <c r="C27" t="s">
        <v>250</v>
      </c>
      <c r="D27" s="2" t="s">
        <v>45</v>
      </c>
      <c r="E27" s="2" t="s">
        <v>45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</row>
    <row r="28" spans="1:12" x14ac:dyDescent="0.3">
      <c r="A28" t="s">
        <v>251</v>
      </c>
      <c r="B28" t="s">
        <v>252</v>
      </c>
      <c r="C28" t="s">
        <v>253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</row>
    <row r="29" spans="1:12" x14ac:dyDescent="0.3">
      <c r="A29" t="s">
        <v>251</v>
      </c>
      <c r="B29" t="s">
        <v>252</v>
      </c>
      <c r="C29" t="s">
        <v>253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</row>
    <row r="30" spans="1:12" x14ac:dyDescent="0.3">
      <c r="A30" t="s">
        <v>251</v>
      </c>
      <c r="B30" t="s">
        <v>252</v>
      </c>
      <c r="C30" t="s">
        <v>253</v>
      </c>
      <c r="D30" s="2" t="s">
        <v>45</v>
      </c>
      <c r="E30" s="2" t="s">
        <v>45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</row>
    <row r="31" spans="1:12" x14ac:dyDescent="0.3">
      <c r="A31" t="s">
        <v>251</v>
      </c>
      <c r="B31" t="s">
        <v>252</v>
      </c>
      <c r="C31" t="s">
        <v>253</v>
      </c>
      <c r="D31" s="2" t="s">
        <v>45</v>
      </c>
      <c r="E31" s="2" t="s">
        <v>45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</row>
    <row r="32" spans="1:12" x14ac:dyDescent="0.3">
      <c r="A32" t="s">
        <v>251</v>
      </c>
      <c r="B32" t="s">
        <v>252</v>
      </c>
      <c r="C32" t="s">
        <v>253</v>
      </c>
      <c r="D32" s="2" t="s">
        <v>45</v>
      </c>
      <c r="E32" s="2" t="s">
        <v>45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</row>
    <row r="33" spans="1:10" x14ac:dyDescent="0.3">
      <c r="A33" t="s">
        <v>251</v>
      </c>
      <c r="B33" t="s">
        <v>252</v>
      </c>
      <c r="C33" t="s">
        <v>253</v>
      </c>
      <c r="D33" s="2" t="s">
        <v>45</v>
      </c>
      <c r="E33" s="2" t="s">
        <v>45</v>
      </c>
      <c r="F33" s="2" t="s">
        <v>45</v>
      </c>
      <c r="G33" s="2" t="s">
        <v>45</v>
      </c>
      <c r="H33" s="2" t="s">
        <v>45</v>
      </c>
      <c r="I33" s="2" t="s">
        <v>45</v>
      </c>
      <c r="J33" s="2" t="s">
        <v>45</v>
      </c>
    </row>
    <row r="34" spans="1:10" x14ac:dyDescent="0.3">
      <c r="A34" t="s">
        <v>106</v>
      </c>
      <c r="B34" t="s">
        <v>254</v>
      </c>
      <c r="C34" t="s">
        <v>255</v>
      </c>
      <c r="D34" s="2" t="s">
        <v>45</v>
      </c>
      <c r="E34" s="2" t="s">
        <v>45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</row>
    <row r="35" spans="1:10" x14ac:dyDescent="0.3">
      <c r="A35" t="s">
        <v>106</v>
      </c>
      <c r="B35" t="s">
        <v>256</v>
      </c>
      <c r="C35" t="s">
        <v>257</v>
      </c>
      <c r="D35" s="2" t="s">
        <v>45</v>
      </c>
      <c r="E35" s="2" t="s">
        <v>45</v>
      </c>
      <c r="F35" s="2" t="s">
        <v>45</v>
      </c>
      <c r="G35" s="2" t="s">
        <v>45</v>
      </c>
      <c r="H35" s="2" t="s">
        <v>45</v>
      </c>
      <c r="I35" s="2" t="s">
        <v>45</v>
      </c>
      <c r="J35" s="2" t="s">
        <v>45</v>
      </c>
    </row>
    <row r="36" spans="1:10" x14ac:dyDescent="0.3">
      <c r="A36" t="s">
        <v>106</v>
      </c>
      <c r="B36" t="s">
        <v>258</v>
      </c>
      <c r="C36" t="s">
        <v>259</v>
      </c>
      <c r="D36" s="2" t="s">
        <v>45</v>
      </c>
      <c r="E36" s="2" t="s">
        <v>45</v>
      </c>
      <c r="F36" s="2" t="s">
        <v>45</v>
      </c>
      <c r="G36" s="2" t="s">
        <v>45</v>
      </c>
      <c r="H36" s="2" t="s">
        <v>45</v>
      </c>
      <c r="I36" s="2" t="s">
        <v>45</v>
      </c>
      <c r="J36" s="2" t="s">
        <v>45</v>
      </c>
    </row>
    <row r="37" spans="1:10" x14ac:dyDescent="0.3">
      <c r="A37" t="s">
        <v>260</v>
      </c>
      <c r="B37" t="s">
        <v>261</v>
      </c>
      <c r="C37" t="s">
        <v>262</v>
      </c>
      <c r="D37" s="2" t="s">
        <v>45</v>
      </c>
      <c r="E37" s="2" t="s">
        <v>45</v>
      </c>
      <c r="F37" s="2" t="s">
        <v>45</v>
      </c>
      <c r="G37" s="2" t="s">
        <v>45</v>
      </c>
      <c r="H37" s="2" t="s">
        <v>45</v>
      </c>
      <c r="I37" s="2" t="s">
        <v>45</v>
      </c>
      <c r="J37" s="2" t="s">
        <v>45</v>
      </c>
    </row>
    <row r="38" spans="1:10" x14ac:dyDescent="0.3">
      <c r="A38" t="s">
        <v>260</v>
      </c>
      <c r="B38" t="s">
        <v>263</v>
      </c>
      <c r="C38" t="s">
        <v>264</v>
      </c>
      <c r="D38" s="2" t="s">
        <v>45</v>
      </c>
      <c r="E38" s="2" t="s">
        <v>45</v>
      </c>
      <c r="F38" s="2" t="s">
        <v>45</v>
      </c>
      <c r="G38" s="2" t="s">
        <v>45</v>
      </c>
      <c r="H38" s="2" t="s">
        <v>45</v>
      </c>
      <c r="I38" s="2" t="s">
        <v>45</v>
      </c>
      <c r="J38" s="2" t="s">
        <v>45</v>
      </c>
    </row>
    <row r="39" spans="1:10" x14ac:dyDescent="0.3">
      <c r="A39" t="s">
        <v>260</v>
      </c>
      <c r="B39" t="s">
        <v>265</v>
      </c>
      <c r="C39" t="s">
        <v>266</v>
      </c>
      <c r="D39" s="2" t="s">
        <v>45</v>
      </c>
      <c r="E39" s="2" t="s">
        <v>45</v>
      </c>
      <c r="F39" s="2" t="s">
        <v>45</v>
      </c>
      <c r="G39" s="2" t="s">
        <v>45</v>
      </c>
      <c r="H39" s="2" t="s">
        <v>45</v>
      </c>
      <c r="I39" s="2" t="s">
        <v>45</v>
      </c>
      <c r="J39" s="2" t="s">
        <v>45</v>
      </c>
    </row>
    <row r="40" spans="1:10" x14ac:dyDescent="0.3">
      <c r="A40" t="s">
        <v>260</v>
      </c>
      <c r="B40" t="s">
        <v>267</v>
      </c>
      <c r="C40" t="s">
        <v>268</v>
      </c>
      <c r="D40" s="2" t="s">
        <v>45</v>
      </c>
      <c r="E40" s="2" t="s">
        <v>45</v>
      </c>
      <c r="F40" s="2" t="s">
        <v>45</v>
      </c>
      <c r="G40" s="2" t="s">
        <v>45</v>
      </c>
      <c r="H40" s="2" t="s">
        <v>45</v>
      </c>
      <c r="I40" s="2" t="s">
        <v>45</v>
      </c>
      <c r="J40" s="2" t="s">
        <v>45</v>
      </c>
    </row>
    <row r="41" spans="1:10" x14ac:dyDescent="0.3">
      <c r="A41" t="s">
        <v>260</v>
      </c>
      <c r="B41" t="s">
        <v>269</v>
      </c>
      <c r="C41" t="s">
        <v>270</v>
      </c>
      <c r="D41" s="2" t="s">
        <v>45</v>
      </c>
      <c r="E41" s="2" t="s">
        <v>45</v>
      </c>
      <c r="F41" s="2" t="s">
        <v>45</v>
      </c>
      <c r="G41" s="2" t="s">
        <v>45</v>
      </c>
      <c r="H41" s="2" t="s">
        <v>45</v>
      </c>
      <c r="I41" s="2" t="s">
        <v>45</v>
      </c>
      <c r="J41" s="2" t="s">
        <v>45</v>
      </c>
    </row>
    <row r="42" spans="1:10" x14ac:dyDescent="0.3">
      <c r="A42" t="s">
        <v>260</v>
      </c>
      <c r="B42" t="s">
        <v>271</v>
      </c>
      <c r="C42" t="s">
        <v>272</v>
      </c>
      <c r="D42" s="2" t="s">
        <v>45</v>
      </c>
      <c r="E42" s="2" t="s">
        <v>45</v>
      </c>
      <c r="F42" s="2" t="s">
        <v>45</v>
      </c>
      <c r="G42" s="2" t="s">
        <v>45</v>
      </c>
      <c r="H42" s="2" t="s">
        <v>45</v>
      </c>
      <c r="I42" s="2" t="s">
        <v>45</v>
      </c>
      <c r="J42" s="2" t="s">
        <v>45</v>
      </c>
    </row>
    <row r="43" spans="1:10" x14ac:dyDescent="0.3">
      <c r="A43" t="s">
        <v>260</v>
      </c>
      <c r="B43" t="s">
        <v>273</v>
      </c>
      <c r="C43" t="s">
        <v>264</v>
      </c>
      <c r="D43" s="2" t="s">
        <v>45</v>
      </c>
      <c r="E43" s="2" t="s">
        <v>45</v>
      </c>
      <c r="F43" s="2" t="s">
        <v>45</v>
      </c>
      <c r="G43" s="2" t="s">
        <v>45</v>
      </c>
      <c r="H43" s="2" t="s">
        <v>45</v>
      </c>
      <c r="I43" s="2" t="s">
        <v>45</v>
      </c>
      <c r="J43" s="2" t="s">
        <v>45</v>
      </c>
    </row>
    <row r="44" spans="1:10" x14ac:dyDescent="0.3">
      <c r="A44" t="s">
        <v>260</v>
      </c>
      <c r="B44" t="s">
        <v>274</v>
      </c>
      <c r="C44" t="s">
        <v>266</v>
      </c>
      <c r="D44" s="2" t="s">
        <v>45</v>
      </c>
      <c r="E44" s="2" t="s">
        <v>45</v>
      </c>
      <c r="F44" s="2" t="s">
        <v>45</v>
      </c>
      <c r="G44" s="2" t="s">
        <v>45</v>
      </c>
      <c r="H44" s="2" t="s">
        <v>45</v>
      </c>
      <c r="I44" s="2" t="s">
        <v>45</v>
      </c>
      <c r="J44" s="2" t="s">
        <v>45</v>
      </c>
    </row>
    <row r="45" spans="1:10" x14ac:dyDescent="0.3">
      <c r="A45" t="s">
        <v>260</v>
      </c>
      <c r="B45" t="s">
        <v>275</v>
      </c>
      <c r="C45" t="s">
        <v>268</v>
      </c>
      <c r="D45" s="2" t="s">
        <v>45</v>
      </c>
      <c r="E45" s="2" t="s">
        <v>45</v>
      </c>
      <c r="F45" s="2" t="s">
        <v>45</v>
      </c>
      <c r="G45" s="2" t="s">
        <v>45</v>
      </c>
      <c r="H45" s="2" t="s">
        <v>45</v>
      </c>
      <c r="I45" s="2" t="s">
        <v>45</v>
      </c>
      <c r="J45" s="2" t="s">
        <v>45</v>
      </c>
    </row>
    <row r="46" spans="1:10" x14ac:dyDescent="0.3">
      <c r="A46" t="s">
        <v>260</v>
      </c>
      <c r="B46" t="s">
        <v>276</v>
      </c>
      <c r="C46" t="s">
        <v>270</v>
      </c>
      <c r="D46" s="2" t="s">
        <v>45</v>
      </c>
      <c r="E46" s="2" t="s">
        <v>45</v>
      </c>
      <c r="F46" s="2" t="s">
        <v>45</v>
      </c>
      <c r="G46" s="2" t="s">
        <v>45</v>
      </c>
      <c r="H46" s="2" t="s">
        <v>45</v>
      </c>
      <c r="I46" s="2" t="s">
        <v>45</v>
      </c>
      <c r="J46" s="2" t="s">
        <v>45</v>
      </c>
    </row>
    <row r="47" spans="1:10" x14ac:dyDescent="0.3">
      <c r="A47" t="s">
        <v>260</v>
      </c>
      <c r="B47" t="s">
        <v>277</v>
      </c>
      <c r="C47" t="s">
        <v>272</v>
      </c>
      <c r="D47" s="2" t="s">
        <v>45</v>
      </c>
      <c r="E47" s="2" t="s">
        <v>45</v>
      </c>
      <c r="F47" s="2" t="s">
        <v>45</v>
      </c>
      <c r="G47" s="2" t="s">
        <v>45</v>
      </c>
      <c r="H47" s="2" t="s">
        <v>45</v>
      </c>
      <c r="I47" s="2" t="s">
        <v>45</v>
      </c>
      <c r="J47" s="2" t="s">
        <v>45</v>
      </c>
    </row>
    <row r="48" spans="1:10" x14ac:dyDescent="0.3">
      <c r="A48" t="s">
        <v>278</v>
      </c>
      <c r="B48" t="s">
        <v>279</v>
      </c>
      <c r="C48" t="s">
        <v>280</v>
      </c>
      <c r="D48" s="2" t="s">
        <v>45</v>
      </c>
      <c r="E48" s="2" t="s">
        <v>45</v>
      </c>
      <c r="F48" s="2" t="s">
        <v>45</v>
      </c>
      <c r="G48" s="2" t="s">
        <v>45</v>
      </c>
      <c r="H48" s="2" t="s">
        <v>45</v>
      </c>
      <c r="I48" s="2" t="s">
        <v>45</v>
      </c>
      <c r="J48" s="2" t="s">
        <v>45</v>
      </c>
    </row>
    <row r="49" spans="1:10" x14ac:dyDescent="0.3">
      <c r="A49" t="s">
        <v>278</v>
      </c>
      <c r="B49" t="s">
        <v>281</v>
      </c>
      <c r="C49" t="s">
        <v>282</v>
      </c>
      <c r="D49" s="2" t="s">
        <v>45</v>
      </c>
      <c r="E49" s="2" t="s">
        <v>45</v>
      </c>
      <c r="F49" s="2" t="s">
        <v>45</v>
      </c>
      <c r="G49" s="2" t="s">
        <v>45</v>
      </c>
      <c r="H49" s="2" t="s">
        <v>45</v>
      </c>
      <c r="I49" s="2" t="s">
        <v>45</v>
      </c>
      <c r="J49" s="2" t="s">
        <v>45</v>
      </c>
    </row>
    <row r="50" spans="1:10" x14ac:dyDescent="0.3">
      <c r="A50" t="s">
        <v>278</v>
      </c>
      <c r="B50" t="s">
        <v>283</v>
      </c>
      <c r="C50" t="s">
        <v>284</v>
      </c>
      <c r="D50" s="2" t="s">
        <v>45</v>
      </c>
      <c r="E50" s="2" t="s">
        <v>45</v>
      </c>
      <c r="F50" s="2" t="s">
        <v>45</v>
      </c>
      <c r="G50" s="2" t="s">
        <v>45</v>
      </c>
      <c r="H50" s="2" t="s">
        <v>45</v>
      </c>
      <c r="I50" s="2" t="s">
        <v>45</v>
      </c>
      <c r="J50" s="2" t="s">
        <v>45</v>
      </c>
    </row>
    <row r="51" spans="1:10" x14ac:dyDescent="0.3">
      <c r="A51" t="s">
        <v>278</v>
      </c>
      <c r="B51" t="s">
        <v>285</v>
      </c>
      <c r="C51" t="s">
        <v>286</v>
      </c>
      <c r="D51" s="2" t="s">
        <v>45</v>
      </c>
      <c r="E51" s="2" t="s">
        <v>45</v>
      </c>
      <c r="F51" s="2" t="s">
        <v>45</v>
      </c>
      <c r="G51" s="2" t="s">
        <v>45</v>
      </c>
      <c r="H51" s="2" t="s">
        <v>45</v>
      </c>
      <c r="I51" s="2" t="s">
        <v>45</v>
      </c>
      <c r="J51" s="2" t="s">
        <v>45</v>
      </c>
    </row>
    <row r="52" spans="1:10" x14ac:dyDescent="0.3">
      <c r="A52" t="s">
        <v>278</v>
      </c>
      <c r="B52" t="s">
        <v>287</v>
      </c>
      <c r="C52" t="s">
        <v>288</v>
      </c>
      <c r="D52" s="2" t="s">
        <v>45</v>
      </c>
      <c r="E52" s="2" t="s">
        <v>45</v>
      </c>
      <c r="F52" s="2" t="s">
        <v>45</v>
      </c>
      <c r="G52" s="2" t="s">
        <v>45</v>
      </c>
      <c r="H52" s="2" t="s">
        <v>45</v>
      </c>
      <c r="I52" s="2" t="s">
        <v>45</v>
      </c>
      <c r="J52" s="2" t="s">
        <v>45</v>
      </c>
    </row>
    <row r="53" spans="1:10" x14ac:dyDescent="0.3">
      <c r="A53" t="s">
        <v>278</v>
      </c>
      <c r="B53" t="s">
        <v>289</v>
      </c>
      <c r="C53" t="s">
        <v>290</v>
      </c>
      <c r="D53" s="2" t="s">
        <v>45</v>
      </c>
      <c r="E53" s="2" t="s">
        <v>45</v>
      </c>
      <c r="F53" s="2" t="s">
        <v>45</v>
      </c>
      <c r="G53" s="2" t="s">
        <v>45</v>
      </c>
      <c r="H53" s="2" t="s">
        <v>45</v>
      </c>
      <c r="I53" s="2" t="s">
        <v>45</v>
      </c>
      <c r="J53" s="2" t="s">
        <v>45</v>
      </c>
    </row>
    <row r="54" spans="1:10" x14ac:dyDescent="0.3">
      <c r="A54" t="s">
        <v>278</v>
      </c>
      <c r="B54" t="s">
        <v>291</v>
      </c>
      <c r="C54" t="s">
        <v>292</v>
      </c>
      <c r="D54" s="2" t="s">
        <v>45</v>
      </c>
      <c r="E54" s="2" t="s">
        <v>45</v>
      </c>
      <c r="F54" s="2" t="s">
        <v>45</v>
      </c>
      <c r="G54" s="2" t="s">
        <v>45</v>
      </c>
      <c r="H54" s="2" t="s">
        <v>45</v>
      </c>
      <c r="I54" s="2" t="s">
        <v>45</v>
      </c>
      <c r="J54" s="2" t="s">
        <v>45</v>
      </c>
    </row>
    <row r="55" spans="1:10" x14ac:dyDescent="0.3">
      <c r="A55" t="s">
        <v>278</v>
      </c>
      <c r="B55" t="s">
        <v>293</v>
      </c>
      <c r="C55" t="s">
        <v>294</v>
      </c>
      <c r="D55" s="2" t="s">
        <v>45</v>
      </c>
      <c r="E55" s="2" t="s">
        <v>45</v>
      </c>
      <c r="F55" s="2" t="s">
        <v>45</v>
      </c>
      <c r="G55" s="2" t="s">
        <v>45</v>
      </c>
      <c r="H55" s="2" t="s">
        <v>45</v>
      </c>
      <c r="I55" s="2" t="s">
        <v>45</v>
      </c>
      <c r="J55" s="2" t="s">
        <v>45</v>
      </c>
    </row>
    <row r="56" spans="1:10" x14ac:dyDescent="0.3">
      <c r="A56" t="s">
        <v>278</v>
      </c>
      <c r="B56" t="s">
        <v>295</v>
      </c>
      <c r="C56" t="s">
        <v>296</v>
      </c>
      <c r="D56" s="2" t="s">
        <v>45</v>
      </c>
      <c r="E56" s="2" t="s">
        <v>45</v>
      </c>
      <c r="F56" s="2" t="s">
        <v>45</v>
      </c>
      <c r="G56" s="2" t="s">
        <v>45</v>
      </c>
      <c r="H56" s="2" t="s">
        <v>45</v>
      </c>
      <c r="I56" s="2" t="s">
        <v>45</v>
      </c>
      <c r="J56" s="2" t="s">
        <v>45</v>
      </c>
    </row>
    <row r="57" spans="1:10" x14ac:dyDescent="0.3">
      <c r="A57" t="s">
        <v>278</v>
      </c>
      <c r="B57" t="s">
        <v>297</v>
      </c>
      <c r="C57" t="s">
        <v>298</v>
      </c>
      <c r="D57" s="2" t="s">
        <v>45</v>
      </c>
      <c r="E57" s="2" t="s">
        <v>45</v>
      </c>
      <c r="F57" s="2" t="s">
        <v>45</v>
      </c>
      <c r="G57" s="2" t="s">
        <v>45</v>
      </c>
      <c r="H57" s="2" t="s">
        <v>45</v>
      </c>
      <c r="I57" s="2" t="s">
        <v>45</v>
      </c>
      <c r="J57" s="2" t="s">
        <v>45</v>
      </c>
    </row>
    <row r="58" spans="1:10" x14ac:dyDescent="0.3">
      <c r="A58" t="s">
        <v>278</v>
      </c>
      <c r="B58" t="s">
        <v>299</v>
      </c>
      <c r="C58" t="s">
        <v>300</v>
      </c>
      <c r="D58" s="2" t="s">
        <v>45</v>
      </c>
      <c r="E58" s="2" t="s">
        <v>45</v>
      </c>
      <c r="F58" s="2" t="s">
        <v>45</v>
      </c>
      <c r="G58" s="2" t="s">
        <v>45</v>
      </c>
      <c r="H58" s="2" t="s">
        <v>45</v>
      </c>
      <c r="I58" s="2" t="s">
        <v>45</v>
      </c>
      <c r="J58" s="2" t="s">
        <v>45</v>
      </c>
    </row>
    <row r="59" spans="1:10" x14ac:dyDescent="0.3">
      <c r="A59" t="s">
        <v>65</v>
      </c>
      <c r="B59" t="s">
        <v>301</v>
      </c>
      <c r="C59" t="s">
        <v>302</v>
      </c>
      <c r="D59" s="2" t="s">
        <v>45</v>
      </c>
      <c r="E59" s="2" t="s">
        <v>45</v>
      </c>
      <c r="F59" s="2" t="s">
        <v>45</v>
      </c>
      <c r="G59" s="2" t="s">
        <v>45</v>
      </c>
      <c r="H59" s="2" t="s">
        <v>45</v>
      </c>
      <c r="I59" s="2" t="s">
        <v>45</v>
      </c>
      <c r="J59" s="2" t="s">
        <v>45</v>
      </c>
    </row>
    <row r="60" spans="1:10" x14ac:dyDescent="0.3">
      <c r="A60" t="s">
        <v>65</v>
      </c>
      <c r="B60" t="s">
        <v>303</v>
      </c>
      <c r="C60" t="s">
        <v>304</v>
      </c>
      <c r="D60" s="2" t="s">
        <v>45</v>
      </c>
      <c r="E60" s="2" t="s">
        <v>45</v>
      </c>
      <c r="F60" s="2" t="s">
        <v>45</v>
      </c>
      <c r="G60" s="3" t="s">
        <v>305</v>
      </c>
      <c r="H60" s="3" t="s">
        <v>306</v>
      </c>
      <c r="I60" s="2" t="s">
        <v>45</v>
      </c>
      <c r="J60" s="2" t="s">
        <v>45</v>
      </c>
    </row>
    <row r="61" spans="1:10" x14ac:dyDescent="0.3">
      <c r="A61" t="s">
        <v>307</v>
      </c>
      <c r="B61" t="s">
        <v>308</v>
      </c>
      <c r="C61" t="s">
        <v>309</v>
      </c>
      <c r="D61" s="2" t="s">
        <v>45</v>
      </c>
      <c r="E61" s="2" t="s">
        <v>45</v>
      </c>
      <c r="F61" s="2" t="s">
        <v>45</v>
      </c>
      <c r="G61" s="2" t="s">
        <v>45</v>
      </c>
      <c r="H61" s="2" t="s">
        <v>45</v>
      </c>
      <c r="I61" s="2" t="s">
        <v>45</v>
      </c>
      <c r="J61" s="2" t="s">
        <v>45</v>
      </c>
    </row>
    <row r="62" spans="1:10" x14ac:dyDescent="0.3">
      <c r="A62" t="s">
        <v>307</v>
      </c>
      <c r="B62" t="s">
        <v>308</v>
      </c>
      <c r="C62" t="s">
        <v>310</v>
      </c>
      <c r="D62" s="2" t="s">
        <v>45</v>
      </c>
      <c r="E62" s="2" t="s">
        <v>45</v>
      </c>
      <c r="F62" s="2" t="s">
        <v>45</v>
      </c>
      <c r="G62" s="2" t="s">
        <v>45</v>
      </c>
      <c r="H62" s="2" t="s">
        <v>45</v>
      </c>
      <c r="I62" s="2" t="s">
        <v>45</v>
      </c>
      <c r="J62" s="2" t="s">
        <v>45</v>
      </c>
    </row>
    <row r="63" spans="1:10" x14ac:dyDescent="0.3">
      <c r="A63" t="s">
        <v>307</v>
      </c>
      <c r="B63" t="s">
        <v>311</v>
      </c>
      <c r="C63" t="s">
        <v>312</v>
      </c>
      <c r="D63" s="2" t="s">
        <v>45</v>
      </c>
      <c r="E63" s="2" t="s">
        <v>45</v>
      </c>
      <c r="F63" s="2" t="s">
        <v>45</v>
      </c>
      <c r="G63" s="2" t="s">
        <v>45</v>
      </c>
      <c r="H63" s="2" t="s">
        <v>45</v>
      </c>
      <c r="I63" s="2" t="s">
        <v>45</v>
      </c>
      <c r="J63" s="2" t="s">
        <v>45</v>
      </c>
    </row>
    <row r="64" spans="1:10" x14ac:dyDescent="0.3">
      <c r="A64" t="s">
        <v>307</v>
      </c>
      <c r="B64" t="s">
        <v>311</v>
      </c>
      <c r="C64" t="s">
        <v>313</v>
      </c>
      <c r="D64" s="2" t="s">
        <v>45</v>
      </c>
      <c r="E64" s="2" t="s">
        <v>45</v>
      </c>
      <c r="F64" s="2" t="s">
        <v>45</v>
      </c>
      <c r="G64" s="2" t="s">
        <v>45</v>
      </c>
      <c r="H64" s="2" t="s">
        <v>45</v>
      </c>
      <c r="I64" s="2" t="s">
        <v>45</v>
      </c>
      <c r="J64" s="2" t="s">
        <v>45</v>
      </c>
    </row>
    <row r="65" spans="1:10" x14ac:dyDescent="0.3">
      <c r="A65" t="s">
        <v>307</v>
      </c>
      <c r="B65" t="s">
        <v>311</v>
      </c>
      <c r="C65" t="s">
        <v>314</v>
      </c>
      <c r="D65" s="2" t="s">
        <v>45</v>
      </c>
      <c r="E65" s="2" t="s">
        <v>45</v>
      </c>
      <c r="F65" s="2" t="s">
        <v>45</v>
      </c>
      <c r="G65" s="2" t="s">
        <v>45</v>
      </c>
      <c r="H65" s="2" t="s">
        <v>45</v>
      </c>
      <c r="I65" s="2" t="s">
        <v>45</v>
      </c>
      <c r="J65" s="2" t="s">
        <v>45</v>
      </c>
    </row>
    <row r="66" spans="1:10" x14ac:dyDescent="0.3">
      <c r="A66" t="s">
        <v>307</v>
      </c>
      <c r="B66" t="s">
        <v>315</v>
      </c>
      <c r="C66" t="s">
        <v>316</v>
      </c>
      <c r="D66" s="2" t="s">
        <v>45</v>
      </c>
      <c r="E66" s="2" t="s">
        <v>45</v>
      </c>
      <c r="F66" s="2" t="s">
        <v>45</v>
      </c>
      <c r="G66" s="2" t="s">
        <v>45</v>
      </c>
      <c r="H66" s="2" t="s">
        <v>45</v>
      </c>
      <c r="I66" s="2" t="s">
        <v>45</v>
      </c>
      <c r="J66" s="2" t="s">
        <v>45</v>
      </c>
    </row>
    <row r="67" spans="1:10" x14ac:dyDescent="0.3">
      <c r="A67" t="s">
        <v>307</v>
      </c>
      <c r="B67" t="s">
        <v>317</v>
      </c>
      <c r="C67" t="s">
        <v>318</v>
      </c>
      <c r="D67" s="2" t="s">
        <v>45</v>
      </c>
      <c r="E67" s="2" t="s">
        <v>45</v>
      </c>
      <c r="F67" s="2" t="s">
        <v>45</v>
      </c>
      <c r="G67" s="2" t="s">
        <v>45</v>
      </c>
      <c r="H67" s="2" t="s">
        <v>45</v>
      </c>
      <c r="I67" s="2" t="s">
        <v>45</v>
      </c>
      <c r="J67" s="2" t="s">
        <v>45</v>
      </c>
    </row>
    <row r="68" spans="1:10" x14ac:dyDescent="0.3">
      <c r="A68" t="s">
        <v>307</v>
      </c>
      <c r="B68" t="s">
        <v>317</v>
      </c>
      <c r="C68" t="s">
        <v>319</v>
      </c>
      <c r="D68" s="2" t="s">
        <v>45</v>
      </c>
      <c r="E68" s="2" t="s">
        <v>45</v>
      </c>
      <c r="F68" s="2" t="s">
        <v>45</v>
      </c>
      <c r="G68" s="2" t="s">
        <v>45</v>
      </c>
      <c r="H68" s="2" t="s">
        <v>45</v>
      </c>
      <c r="I68" s="2" t="s">
        <v>45</v>
      </c>
      <c r="J68" s="2" t="s">
        <v>45</v>
      </c>
    </row>
    <row r="69" spans="1:10" x14ac:dyDescent="0.3">
      <c r="A69" t="s">
        <v>307</v>
      </c>
      <c r="B69" t="s">
        <v>317</v>
      </c>
      <c r="C69" t="s">
        <v>320</v>
      </c>
      <c r="D69" s="2" t="s">
        <v>45</v>
      </c>
      <c r="E69" s="2" t="s">
        <v>45</v>
      </c>
      <c r="F69" s="2" t="s">
        <v>45</v>
      </c>
      <c r="G69" s="2" t="s">
        <v>45</v>
      </c>
      <c r="H69" s="2" t="s">
        <v>45</v>
      </c>
      <c r="I69" s="2" t="s">
        <v>45</v>
      </c>
      <c r="J69" s="2" t="s">
        <v>45</v>
      </c>
    </row>
    <row r="70" spans="1:10" x14ac:dyDescent="0.3">
      <c r="A70" t="s">
        <v>307</v>
      </c>
      <c r="B70" t="s">
        <v>321</v>
      </c>
      <c r="C70" t="s">
        <v>322</v>
      </c>
      <c r="D70" s="2" t="s">
        <v>45</v>
      </c>
      <c r="E70" s="2" t="s">
        <v>45</v>
      </c>
      <c r="F70" s="2" t="s">
        <v>45</v>
      </c>
      <c r="G70" s="2" t="s">
        <v>45</v>
      </c>
      <c r="H70" s="2" t="s">
        <v>45</v>
      </c>
      <c r="I70" s="2" t="s">
        <v>45</v>
      </c>
      <c r="J70" s="2" t="s">
        <v>45</v>
      </c>
    </row>
    <row r="71" spans="1:10" x14ac:dyDescent="0.3">
      <c r="A71" t="s">
        <v>307</v>
      </c>
      <c r="B71" t="s">
        <v>323</v>
      </c>
      <c r="C71" t="s">
        <v>324</v>
      </c>
      <c r="D71" s="2" t="s">
        <v>45</v>
      </c>
      <c r="E71" s="2" t="s">
        <v>45</v>
      </c>
      <c r="F71" s="2" t="s">
        <v>45</v>
      </c>
      <c r="G71" s="2" t="s">
        <v>45</v>
      </c>
      <c r="H71" s="2" t="s">
        <v>45</v>
      </c>
      <c r="I71" s="2" t="s">
        <v>45</v>
      </c>
      <c r="J71" s="2" t="s">
        <v>45</v>
      </c>
    </row>
    <row r="72" spans="1:10" x14ac:dyDescent="0.3">
      <c r="A72" t="s">
        <v>307</v>
      </c>
      <c r="B72" t="s">
        <v>323</v>
      </c>
      <c r="C72" t="s">
        <v>325</v>
      </c>
      <c r="D72" s="2" t="s">
        <v>45</v>
      </c>
      <c r="E72" s="2" t="s">
        <v>45</v>
      </c>
      <c r="F72" s="2" t="s">
        <v>45</v>
      </c>
      <c r="G72" s="2" t="s">
        <v>45</v>
      </c>
      <c r="H72" s="2" t="s">
        <v>45</v>
      </c>
      <c r="I72" s="2" t="s">
        <v>45</v>
      </c>
      <c r="J72" s="2" t="s">
        <v>45</v>
      </c>
    </row>
    <row r="73" spans="1:10" x14ac:dyDescent="0.3">
      <c r="A73" t="s">
        <v>307</v>
      </c>
      <c r="B73" t="s">
        <v>323</v>
      </c>
      <c r="C73" t="s">
        <v>326</v>
      </c>
      <c r="D73" s="2" t="s">
        <v>45</v>
      </c>
      <c r="E73" s="2" t="s">
        <v>45</v>
      </c>
      <c r="F73" s="2" t="s">
        <v>45</v>
      </c>
      <c r="G73" s="2" t="s">
        <v>45</v>
      </c>
      <c r="H73" s="2" t="s">
        <v>45</v>
      </c>
      <c r="I73" s="2" t="s">
        <v>45</v>
      </c>
      <c r="J73" s="2" t="s">
        <v>45</v>
      </c>
    </row>
    <row r="74" spans="1:10" x14ac:dyDescent="0.3">
      <c r="A74" t="s">
        <v>307</v>
      </c>
      <c r="B74" t="s">
        <v>323</v>
      </c>
      <c r="C74" t="s">
        <v>327</v>
      </c>
      <c r="D74" s="2" t="s">
        <v>45</v>
      </c>
      <c r="E74" s="2" t="s">
        <v>45</v>
      </c>
      <c r="F74" s="2" t="s">
        <v>45</v>
      </c>
      <c r="G74" s="2" t="s">
        <v>45</v>
      </c>
      <c r="H74" s="2" t="s">
        <v>45</v>
      </c>
      <c r="I74" s="2" t="s">
        <v>45</v>
      </c>
      <c r="J74" s="2" t="s">
        <v>45</v>
      </c>
    </row>
    <row r="75" spans="1:10" x14ac:dyDescent="0.3">
      <c r="A75" t="s">
        <v>307</v>
      </c>
      <c r="B75" t="s">
        <v>328</v>
      </c>
      <c r="C75" t="s">
        <v>329</v>
      </c>
      <c r="D75" s="2" t="s">
        <v>45</v>
      </c>
      <c r="E75" s="2" t="s">
        <v>45</v>
      </c>
      <c r="F75" s="2" t="s">
        <v>45</v>
      </c>
      <c r="G75" s="2" t="s">
        <v>45</v>
      </c>
      <c r="H75" s="2" t="s">
        <v>45</v>
      </c>
      <c r="I75" s="2" t="s">
        <v>45</v>
      </c>
      <c r="J75" s="2" t="s">
        <v>45</v>
      </c>
    </row>
    <row r="76" spans="1:10" x14ac:dyDescent="0.3">
      <c r="A76" t="s">
        <v>307</v>
      </c>
      <c r="B76" t="s">
        <v>328</v>
      </c>
      <c r="C76" t="s">
        <v>330</v>
      </c>
      <c r="D76" s="2" t="s">
        <v>45</v>
      </c>
      <c r="E76" s="2" t="s">
        <v>45</v>
      </c>
      <c r="F76" s="2" t="s">
        <v>45</v>
      </c>
      <c r="G76" s="2" t="s">
        <v>45</v>
      </c>
      <c r="H76" s="2" t="s">
        <v>45</v>
      </c>
      <c r="I76" s="2" t="s">
        <v>45</v>
      </c>
      <c r="J76" s="2" t="s">
        <v>45</v>
      </c>
    </row>
    <row r="77" spans="1:10" x14ac:dyDescent="0.3">
      <c r="A77" t="s">
        <v>307</v>
      </c>
      <c r="B77" t="s">
        <v>331</v>
      </c>
      <c r="C77" t="s">
        <v>332</v>
      </c>
      <c r="D77" s="2" t="s">
        <v>45</v>
      </c>
      <c r="E77" s="2" t="s">
        <v>45</v>
      </c>
      <c r="F77" s="2" t="s">
        <v>45</v>
      </c>
      <c r="G77" s="2" t="s">
        <v>45</v>
      </c>
      <c r="H77" s="2" t="s">
        <v>45</v>
      </c>
      <c r="I77" s="2" t="s">
        <v>45</v>
      </c>
      <c r="J77" s="2" t="s">
        <v>45</v>
      </c>
    </row>
    <row r="78" spans="1:10" x14ac:dyDescent="0.3">
      <c r="A78" t="s">
        <v>333</v>
      </c>
      <c r="B78" t="s">
        <v>334</v>
      </c>
      <c r="C78" t="s">
        <v>335</v>
      </c>
      <c r="D78" s="2" t="s">
        <v>45</v>
      </c>
      <c r="E78" s="2" t="s">
        <v>45</v>
      </c>
      <c r="F78" s="2" t="s">
        <v>45</v>
      </c>
      <c r="G78" s="2" t="s">
        <v>45</v>
      </c>
      <c r="H78" s="2" t="s">
        <v>45</v>
      </c>
      <c r="I78" s="2" t="s">
        <v>45</v>
      </c>
      <c r="J78" s="2" t="s">
        <v>45</v>
      </c>
    </row>
    <row r="79" spans="1:10" x14ac:dyDescent="0.3">
      <c r="A79" t="s">
        <v>333</v>
      </c>
      <c r="B79" t="s">
        <v>336</v>
      </c>
      <c r="C79" t="s">
        <v>337</v>
      </c>
      <c r="D79" s="2" t="s">
        <v>45</v>
      </c>
      <c r="E79" s="2" t="s">
        <v>45</v>
      </c>
      <c r="F79" s="2" t="s">
        <v>45</v>
      </c>
      <c r="G79" s="2" t="s">
        <v>45</v>
      </c>
      <c r="H79" s="2" t="s">
        <v>45</v>
      </c>
      <c r="I79" s="2" t="s">
        <v>45</v>
      </c>
      <c r="J79" s="2" t="s">
        <v>45</v>
      </c>
    </row>
    <row r="80" spans="1:10" x14ac:dyDescent="0.3">
      <c r="A80" t="s">
        <v>333</v>
      </c>
      <c r="B80" t="s">
        <v>338</v>
      </c>
      <c r="C80" t="s">
        <v>339</v>
      </c>
      <c r="D80" s="2" t="s">
        <v>45</v>
      </c>
      <c r="E80" s="2" t="s">
        <v>45</v>
      </c>
      <c r="F80" s="2" t="s">
        <v>45</v>
      </c>
      <c r="G80" s="2" t="s">
        <v>45</v>
      </c>
      <c r="H80" s="2" t="s">
        <v>45</v>
      </c>
      <c r="I80" s="2" t="s">
        <v>45</v>
      </c>
      <c r="J80" s="2" t="s">
        <v>45</v>
      </c>
    </row>
    <row r="81" spans="1:11" x14ac:dyDescent="0.3">
      <c r="A81" t="s">
        <v>333</v>
      </c>
      <c r="B81" t="s">
        <v>340</v>
      </c>
      <c r="C81" t="s">
        <v>341</v>
      </c>
      <c r="D81" s="2" t="s">
        <v>45</v>
      </c>
      <c r="E81" s="2" t="s">
        <v>45</v>
      </c>
      <c r="F81" s="2" t="s">
        <v>45</v>
      </c>
      <c r="G81" s="2" t="s">
        <v>45</v>
      </c>
      <c r="H81" s="2" t="s">
        <v>45</v>
      </c>
      <c r="I81" s="2" t="s">
        <v>45</v>
      </c>
      <c r="J81" s="2" t="s">
        <v>45</v>
      </c>
    </row>
    <row r="82" spans="1:11" x14ac:dyDescent="0.3">
      <c r="A82" t="s">
        <v>342</v>
      </c>
      <c r="B82" t="s">
        <v>343</v>
      </c>
      <c r="C82" t="s">
        <v>344</v>
      </c>
      <c r="D82" s="2" t="s">
        <v>45</v>
      </c>
      <c r="E82" s="2" t="s">
        <v>45</v>
      </c>
      <c r="F82" s="2" t="s">
        <v>45</v>
      </c>
      <c r="G82" s="2" t="s">
        <v>45</v>
      </c>
      <c r="H82" s="2" t="s">
        <v>45</v>
      </c>
      <c r="I82" s="2" t="s">
        <v>45</v>
      </c>
      <c r="J82" s="2" t="s">
        <v>45</v>
      </c>
    </row>
    <row r="83" spans="1:11" x14ac:dyDescent="0.3">
      <c r="A83" t="s">
        <v>342</v>
      </c>
      <c r="B83" t="s">
        <v>345</v>
      </c>
      <c r="C83" t="s">
        <v>346</v>
      </c>
      <c r="D83" s="2" t="s">
        <v>45</v>
      </c>
      <c r="E83" s="2" t="s">
        <v>45</v>
      </c>
      <c r="F83" s="2" t="s">
        <v>45</v>
      </c>
      <c r="G83" s="2" t="s">
        <v>45</v>
      </c>
      <c r="H83" s="2" t="s">
        <v>45</v>
      </c>
      <c r="I83" s="2" t="s">
        <v>45</v>
      </c>
      <c r="J83" s="2" t="s">
        <v>45</v>
      </c>
    </row>
    <row r="84" spans="1:11" x14ac:dyDescent="0.3">
      <c r="A84" t="s">
        <v>342</v>
      </c>
      <c r="B84" t="s">
        <v>347</v>
      </c>
      <c r="C84" t="s">
        <v>348</v>
      </c>
      <c r="D84" s="2" t="s">
        <v>45</v>
      </c>
      <c r="E84" s="2" t="s">
        <v>45</v>
      </c>
      <c r="F84" s="2" t="s">
        <v>45</v>
      </c>
      <c r="G84" s="2" t="s">
        <v>45</v>
      </c>
      <c r="H84" s="2" t="s">
        <v>45</v>
      </c>
      <c r="I84" s="2" t="s">
        <v>45</v>
      </c>
      <c r="J84" s="2" t="s">
        <v>45</v>
      </c>
    </row>
    <row r="85" spans="1:11" x14ac:dyDescent="0.3">
      <c r="A85" t="s">
        <v>342</v>
      </c>
      <c r="B85" t="s">
        <v>349</v>
      </c>
      <c r="C85" t="s">
        <v>350</v>
      </c>
      <c r="D85" s="2" t="s">
        <v>45</v>
      </c>
      <c r="E85" s="2" t="s">
        <v>45</v>
      </c>
      <c r="F85" s="2" t="s">
        <v>45</v>
      </c>
      <c r="G85" s="2" t="s">
        <v>45</v>
      </c>
      <c r="H85" s="2" t="s">
        <v>45</v>
      </c>
      <c r="I85" s="2" t="s">
        <v>45</v>
      </c>
      <c r="J85" s="2" t="s">
        <v>45</v>
      </c>
    </row>
    <row r="86" spans="1:11" x14ac:dyDescent="0.3">
      <c r="A86" t="s">
        <v>351</v>
      </c>
      <c r="B86" t="s">
        <v>352</v>
      </c>
      <c r="C86" t="s">
        <v>353</v>
      </c>
      <c r="D86" s="2" t="s">
        <v>45</v>
      </c>
      <c r="E86" s="2" t="s">
        <v>45</v>
      </c>
      <c r="F86" s="3" t="s">
        <v>354</v>
      </c>
      <c r="G86" s="3" t="s">
        <v>355</v>
      </c>
      <c r="H86" s="3" t="s">
        <v>356</v>
      </c>
      <c r="I86" s="3" t="s">
        <v>354</v>
      </c>
      <c r="J86" s="3" t="s">
        <v>355</v>
      </c>
    </row>
    <row r="87" spans="1:11" x14ac:dyDescent="0.3">
      <c r="A87" t="s">
        <v>351</v>
      </c>
      <c r="B87" t="s">
        <v>357</v>
      </c>
      <c r="C87" t="s">
        <v>358</v>
      </c>
      <c r="D87" s="2" t="s">
        <v>45</v>
      </c>
      <c r="E87" s="2" t="s">
        <v>45</v>
      </c>
      <c r="F87" s="2" t="s">
        <v>45</v>
      </c>
      <c r="G87" s="2" t="s">
        <v>45</v>
      </c>
      <c r="H87" s="2" t="s">
        <v>45</v>
      </c>
      <c r="I87" s="2" t="s">
        <v>45</v>
      </c>
      <c r="J87" s="2" t="s">
        <v>45</v>
      </c>
    </row>
    <row r="88" spans="1:11" x14ac:dyDescent="0.3">
      <c r="A88" t="s">
        <v>351</v>
      </c>
      <c r="B88" t="s">
        <v>359</v>
      </c>
      <c r="C88" t="s">
        <v>360</v>
      </c>
      <c r="D88" s="2" t="s">
        <v>45</v>
      </c>
      <c r="E88" s="2" t="s">
        <v>45</v>
      </c>
      <c r="F88" s="2" t="s">
        <v>45</v>
      </c>
      <c r="G88" s="2" t="s">
        <v>45</v>
      </c>
      <c r="H88" s="2" t="s">
        <v>45</v>
      </c>
      <c r="I88" s="2" t="s">
        <v>45</v>
      </c>
      <c r="J88" s="2" t="s">
        <v>45</v>
      </c>
      <c r="K88" t="s">
        <v>361</v>
      </c>
    </row>
    <row r="89" spans="1:11" x14ac:dyDescent="0.3">
      <c r="A89" t="s">
        <v>351</v>
      </c>
      <c r="B89" t="s">
        <v>359</v>
      </c>
      <c r="C89" t="s">
        <v>362</v>
      </c>
      <c r="D89" s="2" t="s">
        <v>45</v>
      </c>
      <c r="E89" s="2" t="s">
        <v>45</v>
      </c>
      <c r="F89" s="2" t="s">
        <v>45</v>
      </c>
      <c r="G89" s="2" t="s">
        <v>45</v>
      </c>
      <c r="H89" s="2" t="s">
        <v>45</v>
      </c>
      <c r="I89" s="2" t="s">
        <v>45</v>
      </c>
      <c r="J89" s="2" t="s">
        <v>45</v>
      </c>
    </row>
    <row r="90" spans="1:11" x14ac:dyDescent="0.3">
      <c r="A90" t="s">
        <v>351</v>
      </c>
      <c r="B90" t="s">
        <v>363</v>
      </c>
      <c r="C90" t="s">
        <v>364</v>
      </c>
      <c r="D90" s="2" t="s">
        <v>45</v>
      </c>
      <c r="E90" s="2" t="s">
        <v>45</v>
      </c>
      <c r="F90" s="2" t="s">
        <v>45</v>
      </c>
      <c r="G90" s="2" t="s">
        <v>45</v>
      </c>
      <c r="H90" s="2" t="s">
        <v>45</v>
      </c>
      <c r="I90" s="2" t="s">
        <v>45</v>
      </c>
      <c r="J90" s="2" t="s">
        <v>45</v>
      </c>
    </row>
    <row r="91" spans="1:11" x14ac:dyDescent="0.3">
      <c r="A91" t="s">
        <v>351</v>
      </c>
      <c r="B91" t="s">
        <v>365</v>
      </c>
      <c r="C91" t="s">
        <v>366</v>
      </c>
      <c r="D91" s="2" t="s">
        <v>45</v>
      </c>
      <c r="E91" s="2" t="s">
        <v>45</v>
      </c>
      <c r="F91" s="2" t="s">
        <v>45</v>
      </c>
      <c r="G91" s="2" t="s">
        <v>45</v>
      </c>
      <c r="H91" s="2" t="s">
        <v>45</v>
      </c>
      <c r="I91" s="2" t="s">
        <v>45</v>
      </c>
      <c r="J91" s="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2"/>
  <sheetViews>
    <sheetView topLeftCell="A85" zoomScaleNormal="100" workbookViewId="0">
      <selection activeCell="I18" sqref="I18"/>
    </sheetView>
  </sheetViews>
  <sheetFormatPr defaultRowHeight="15.05" x14ac:dyDescent="0.3"/>
  <cols>
    <col min="1" max="1" width="18.6640625" bestFit="1" customWidth="1"/>
    <col min="2" max="2" width="39.44140625" bestFit="1" customWidth="1"/>
    <col min="3" max="3" width="42.109375" bestFit="1" customWidth="1"/>
    <col min="4" max="4" width="7.109375" bestFit="1" customWidth="1"/>
    <col min="5" max="5" width="11.6640625" bestFit="1" customWidth="1"/>
    <col min="6" max="6" width="11.88671875" bestFit="1" customWidth="1"/>
    <col min="7" max="8" width="19.33203125" bestFit="1" customWidth="1"/>
    <col min="9" max="10" width="33" bestFit="1" customWidth="1"/>
  </cols>
  <sheetData>
    <row r="1" spans="1:11" x14ac:dyDescent="0.3">
      <c r="A1" s="1" t="s">
        <v>40</v>
      </c>
      <c r="B1" s="1" t="s">
        <v>115</v>
      </c>
      <c r="C1" s="1" t="s">
        <v>4</v>
      </c>
      <c r="D1" s="4" t="s">
        <v>6</v>
      </c>
      <c r="E1" s="4" t="s">
        <v>8</v>
      </c>
      <c r="F1" s="4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 spans="1:11" x14ac:dyDescent="0.3">
      <c r="A2" t="s">
        <v>367</v>
      </c>
      <c r="B2" t="s">
        <v>368</v>
      </c>
      <c r="C2">
        <v>3</v>
      </c>
      <c r="D2" s="2" t="s">
        <v>45</v>
      </c>
      <c r="E2" s="2" t="s">
        <v>45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</row>
    <row r="3" spans="1:11" x14ac:dyDescent="0.3">
      <c r="A3" t="s">
        <v>369</v>
      </c>
      <c r="B3" t="s">
        <v>370</v>
      </c>
      <c r="C3" t="s">
        <v>371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</row>
    <row r="4" spans="1:11" x14ac:dyDescent="0.3">
      <c r="A4" t="s">
        <v>369</v>
      </c>
      <c r="B4" t="s">
        <v>372</v>
      </c>
      <c r="C4" t="s">
        <v>373</v>
      </c>
      <c r="D4" s="2" t="s">
        <v>45</v>
      </c>
      <c r="E4" s="2" t="s">
        <v>45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</row>
    <row r="5" spans="1:11" x14ac:dyDescent="0.3">
      <c r="A5" t="s">
        <v>369</v>
      </c>
      <c r="B5" t="s">
        <v>374</v>
      </c>
      <c r="C5" t="s">
        <v>375</v>
      </c>
      <c r="D5" s="2" t="s">
        <v>45</v>
      </c>
      <c r="E5" s="2" t="s">
        <v>45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</row>
    <row r="6" spans="1:11" x14ac:dyDescent="0.3">
      <c r="A6" t="s">
        <v>369</v>
      </c>
      <c r="B6" t="s">
        <v>376</v>
      </c>
      <c r="C6" t="s">
        <v>377</v>
      </c>
      <c r="D6" s="2" t="s">
        <v>45</v>
      </c>
      <c r="E6" s="2" t="s">
        <v>45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</row>
    <row r="7" spans="1:11" x14ac:dyDescent="0.3">
      <c r="A7" t="s">
        <v>369</v>
      </c>
      <c r="B7" t="s">
        <v>378</v>
      </c>
      <c r="C7" t="s">
        <v>379</v>
      </c>
      <c r="D7" s="2" t="s">
        <v>45</v>
      </c>
      <c r="E7" s="2" t="s">
        <v>45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</row>
    <row r="8" spans="1:11" x14ac:dyDescent="0.3">
      <c r="A8" t="s">
        <v>369</v>
      </c>
      <c r="B8" t="s">
        <v>380</v>
      </c>
      <c r="C8" t="s">
        <v>381</v>
      </c>
      <c r="D8" s="2" t="s">
        <v>45</v>
      </c>
      <c r="E8" s="2" t="s">
        <v>45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</row>
    <row r="9" spans="1:11" x14ac:dyDescent="0.3">
      <c r="A9" t="s">
        <v>369</v>
      </c>
      <c r="B9" t="s">
        <v>382</v>
      </c>
      <c r="C9" t="s">
        <v>381</v>
      </c>
      <c r="D9" s="2" t="s">
        <v>45</v>
      </c>
      <c r="E9" s="2" t="s">
        <v>45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</row>
    <row r="10" spans="1:11" x14ac:dyDescent="0.3">
      <c r="A10" t="s">
        <v>369</v>
      </c>
      <c r="B10" t="s">
        <v>383</v>
      </c>
      <c r="C10" t="s">
        <v>379</v>
      </c>
      <c r="D10" s="2" t="s">
        <v>45</v>
      </c>
      <c r="E10" s="2" t="s">
        <v>45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</row>
    <row r="11" spans="1:11" x14ac:dyDescent="0.3">
      <c r="A11" t="s">
        <v>369</v>
      </c>
      <c r="B11" t="s">
        <v>384</v>
      </c>
      <c r="C11" t="s">
        <v>385</v>
      </c>
      <c r="D11" s="2" t="s">
        <v>45</v>
      </c>
      <c r="E11" s="2" t="s">
        <v>45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</row>
    <row r="12" spans="1:11" x14ac:dyDescent="0.3">
      <c r="A12" t="s">
        <v>369</v>
      </c>
      <c r="B12" t="s">
        <v>386</v>
      </c>
      <c r="C12" t="s">
        <v>387</v>
      </c>
      <c r="D12" s="2" t="s">
        <v>45</v>
      </c>
      <c r="E12" s="2" t="s">
        <v>45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</row>
    <row r="13" spans="1:11" x14ac:dyDescent="0.3">
      <c r="A13" t="s">
        <v>369</v>
      </c>
      <c r="B13" t="s">
        <v>388</v>
      </c>
      <c r="C13" t="s">
        <v>389</v>
      </c>
      <c r="D13" s="2" t="s">
        <v>45</v>
      </c>
      <c r="E13" s="2" t="s">
        <v>45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</row>
    <row r="14" spans="1:11" x14ac:dyDescent="0.3">
      <c r="A14" t="s">
        <v>369</v>
      </c>
      <c r="B14" t="s">
        <v>390</v>
      </c>
      <c r="C14" t="s">
        <v>391</v>
      </c>
      <c r="D14" s="3" t="s">
        <v>392</v>
      </c>
      <c r="E14" s="3" t="s">
        <v>392</v>
      </c>
      <c r="F14" s="2" t="s">
        <v>45</v>
      </c>
      <c r="G14" s="3" t="s">
        <v>393</v>
      </c>
      <c r="H14" s="3" t="s">
        <v>393</v>
      </c>
      <c r="I14" s="3" t="s">
        <v>394</v>
      </c>
      <c r="J14" s="3" t="s">
        <v>394</v>
      </c>
      <c r="K14" t="s">
        <v>395</v>
      </c>
    </row>
    <row r="15" spans="1:11" x14ac:dyDescent="0.3">
      <c r="A15" t="s">
        <v>369</v>
      </c>
      <c r="B15" t="s">
        <v>396</v>
      </c>
      <c r="C15" t="s">
        <v>397</v>
      </c>
      <c r="D15" s="2" t="s">
        <v>45</v>
      </c>
      <c r="E15" s="2" t="s">
        <v>45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</row>
    <row r="16" spans="1:11" x14ac:dyDescent="0.3">
      <c r="A16" t="s">
        <v>369</v>
      </c>
      <c r="B16" t="s">
        <v>398</v>
      </c>
      <c r="C16" t="s">
        <v>399</v>
      </c>
      <c r="D16" s="2" t="s">
        <v>45</v>
      </c>
      <c r="E16" s="2" t="s">
        <v>45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</row>
    <row r="17" spans="1:11" x14ac:dyDescent="0.3">
      <c r="A17" t="s">
        <v>369</v>
      </c>
      <c r="B17" t="s">
        <v>400</v>
      </c>
      <c r="C17" t="s">
        <v>399</v>
      </c>
      <c r="D17" s="2" t="s">
        <v>45</v>
      </c>
      <c r="E17" s="2" t="s">
        <v>45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</row>
    <row r="18" spans="1:11" x14ac:dyDescent="0.3">
      <c r="A18" t="s">
        <v>369</v>
      </c>
      <c r="B18" t="s">
        <v>401</v>
      </c>
      <c r="C18" t="s">
        <v>402</v>
      </c>
      <c r="D18" s="2" t="s">
        <v>45</v>
      </c>
      <c r="E18" s="2" t="s">
        <v>45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</row>
    <row r="19" spans="1:11" x14ac:dyDescent="0.3">
      <c r="A19" t="s">
        <v>369</v>
      </c>
      <c r="B19" t="s">
        <v>403</v>
      </c>
      <c r="C19" t="s">
        <v>379</v>
      </c>
      <c r="D19" s="2" t="s">
        <v>45</v>
      </c>
      <c r="E19" s="2" t="s">
        <v>45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</row>
    <row r="20" spans="1:11" x14ac:dyDescent="0.3">
      <c r="A20" t="s">
        <v>369</v>
      </c>
      <c r="B20" t="s">
        <v>404</v>
      </c>
      <c r="C20" t="s">
        <v>379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</row>
    <row r="21" spans="1:11" x14ac:dyDescent="0.3">
      <c r="A21" t="s">
        <v>369</v>
      </c>
      <c r="B21" t="s">
        <v>405</v>
      </c>
      <c r="C21" t="s">
        <v>379</v>
      </c>
      <c r="D21" s="2" t="s">
        <v>45</v>
      </c>
      <c r="E21" s="2" t="s">
        <v>45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</row>
    <row r="22" spans="1:11" x14ac:dyDescent="0.3">
      <c r="A22" t="s">
        <v>369</v>
      </c>
      <c r="B22" t="s">
        <v>406</v>
      </c>
      <c r="C22" t="s">
        <v>407</v>
      </c>
      <c r="D22" s="2" t="s">
        <v>45</v>
      </c>
      <c r="E22" s="2" t="s">
        <v>45</v>
      </c>
      <c r="F22" s="2" t="s">
        <v>45</v>
      </c>
      <c r="G22" s="2" t="s">
        <v>45</v>
      </c>
      <c r="H22" s="2" t="s">
        <v>45</v>
      </c>
      <c r="I22" s="2" t="s">
        <v>45</v>
      </c>
      <c r="J22" s="2" t="s">
        <v>45</v>
      </c>
    </row>
    <row r="23" spans="1:11" x14ac:dyDescent="0.3">
      <c r="A23" t="s">
        <v>369</v>
      </c>
      <c r="B23" t="s">
        <v>408</v>
      </c>
      <c r="C23" t="s">
        <v>407</v>
      </c>
      <c r="D23" s="2" t="s">
        <v>45</v>
      </c>
      <c r="E23" s="2" t="s">
        <v>45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</row>
    <row r="24" spans="1:11" x14ac:dyDescent="0.3">
      <c r="A24" t="s">
        <v>369</v>
      </c>
      <c r="B24" t="s">
        <v>409</v>
      </c>
      <c r="C24" t="s">
        <v>379</v>
      </c>
      <c r="D24" s="2" t="s">
        <v>45</v>
      </c>
      <c r="E24" s="2" t="s">
        <v>45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</row>
    <row r="25" spans="1:11" x14ac:dyDescent="0.3">
      <c r="A25" t="s">
        <v>369</v>
      </c>
      <c r="B25" t="s">
        <v>410</v>
      </c>
      <c r="C25" t="s">
        <v>411</v>
      </c>
      <c r="D25" s="2" t="s">
        <v>45</v>
      </c>
      <c r="E25" s="2" t="s">
        <v>45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</row>
    <row r="26" spans="1:11" x14ac:dyDescent="0.3">
      <c r="A26" t="s">
        <v>369</v>
      </c>
      <c r="B26" t="s">
        <v>412</v>
      </c>
      <c r="C26" t="s">
        <v>413</v>
      </c>
      <c r="D26" s="2" t="s">
        <v>45</v>
      </c>
      <c r="E26" s="2" t="s">
        <v>45</v>
      </c>
      <c r="F26" s="2" t="s">
        <v>45</v>
      </c>
      <c r="G26" s="2" t="s">
        <v>45</v>
      </c>
      <c r="H26" s="2" t="s">
        <v>45</v>
      </c>
      <c r="I26" s="3" t="s">
        <v>414</v>
      </c>
      <c r="J26" s="3" t="s">
        <v>414</v>
      </c>
      <c r="K26" t="s">
        <v>395</v>
      </c>
    </row>
    <row r="27" spans="1:11" x14ac:dyDescent="0.3">
      <c r="A27" t="s">
        <v>369</v>
      </c>
      <c r="B27" t="s">
        <v>415</v>
      </c>
      <c r="C27" t="s">
        <v>416</v>
      </c>
      <c r="D27" s="2" t="s">
        <v>45</v>
      </c>
      <c r="E27" s="2" t="s">
        <v>45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</row>
    <row r="28" spans="1:11" x14ac:dyDescent="0.3">
      <c r="A28" t="s">
        <v>369</v>
      </c>
      <c r="B28" t="s">
        <v>417</v>
      </c>
      <c r="C28" t="s">
        <v>418</v>
      </c>
      <c r="D28" s="2" t="s">
        <v>45</v>
      </c>
      <c r="E28" s="2" t="s">
        <v>45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</row>
    <row r="29" spans="1:11" x14ac:dyDescent="0.3">
      <c r="A29" t="s">
        <v>369</v>
      </c>
      <c r="B29" t="s">
        <v>419</v>
      </c>
      <c r="C29" t="s">
        <v>420</v>
      </c>
      <c r="D29" s="2" t="s">
        <v>45</v>
      </c>
      <c r="E29" s="2" t="s">
        <v>45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</row>
    <row r="30" spans="1:11" x14ac:dyDescent="0.3">
      <c r="A30" t="s">
        <v>369</v>
      </c>
      <c r="B30" t="s">
        <v>421</v>
      </c>
      <c r="C30" t="s">
        <v>422</v>
      </c>
      <c r="D30" s="2" t="s">
        <v>45</v>
      </c>
      <c r="E30" s="2" t="s">
        <v>45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</row>
    <row r="31" spans="1:11" x14ac:dyDescent="0.3">
      <c r="A31" t="s">
        <v>369</v>
      </c>
      <c r="B31" t="s">
        <v>423</v>
      </c>
      <c r="C31" t="s">
        <v>424</v>
      </c>
      <c r="D31" s="2" t="s">
        <v>45</v>
      </c>
      <c r="E31" s="2" t="s">
        <v>45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</row>
    <row r="32" spans="1:11" x14ac:dyDescent="0.3">
      <c r="A32" t="s">
        <v>369</v>
      </c>
      <c r="B32" t="s">
        <v>425</v>
      </c>
      <c r="C32" t="s">
        <v>424</v>
      </c>
      <c r="D32" s="2" t="s">
        <v>45</v>
      </c>
      <c r="E32" s="2" t="s">
        <v>45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</row>
    <row r="33" spans="1:10" x14ac:dyDescent="0.3">
      <c r="A33" t="s">
        <v>369</v>
      </c>
      <c r="B33" t="s">
        <v>426</v>
      </c>
      <c r="C33" t="s">
        <v>427</v>
      </c>
      <c r="D33" s="2" t="s">
        <v>45</v>
      </c>
      <c r="E33" s="2" t="s">
        <v>45</v>
      </c>
      <c r="F33" s="2" t="s">
        <v>45</v>
      </c>
      <c r="G33" s="2" t="s">
        <v>45</v>
      </c>
      <c r="H33" s="2" t="s">
        <v>45</v>
      </c>
      <c r="I33" s="2" t="s">
        <v>45</v>
      </c>
      <c r="J33" s="2" t="s">
        <v>45</v>
      </c>
    </row>
    <row r="34" spans="1:10" x14ac:dyDescent="0.3">
      <c r="A34" t="s">
        <v>369</v>
      </c>
      <c r="B34" t="s">
        <v>428</v>
      </c>
      <c r="C34" t="s">
        <v>429</v>
      </c>
      <c r="D34" s="2" t="s">
        <v>45</v>
      </c>
      <c r="E34" s="2" t="s">
        <v>45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</row>
    <row r="35" spans="1:10" x14ac:dyDescent="0.3">
      <c r="A35" t="s">
        <v>369</v>
      </c>
      <c r="B35" t="s">
        <v>430</v>
      </c>
      <c r="C35" t="s">
        <v>431</v>
      </c>
      <c r="D35" s="2" t="s">
        <v>45</v>
      </c>
      <c r="E35" s="2" t="s">
        <v>45</v>
      </c>
      <c r="F35" s="2" t="s">
        <v>45</v>
      </c>
      <c r="G35" s="2" t="s">
        <v>45</v>
      </c>
      <c r="H35" s="2" t="s">
        <v>45</v>
      </c>
      <c r="I35" s="2" t="s">
        <v>45</v>
      </c>
      <c r="J35" s="2" t="s">
        <v>45</v>
      </c>
    </row>
    <row r="36" spans="1:10" x14ac:dyDescent="0.3">
      <c r="A36" t="s">
        <v>369</v>
      </c>
      <c r="B36" t="s">
        <v>432</v>
      </c>
      <c r="C36" t="s">
        <v>433</v>
      </c>
      <c r="D36" s="2" t="s">
        <v>45</v>
      </c>
      <c r="E36" s="2" t="s">
        <v>45</v>
      </c>
      <c r="F36" s="2" t="s">
        <v>45</v>
      </c>
      <c r="G36" s="2" t="s">
        <v>45</v>
      </c>
      <c r="H36" s="2" t="s">
        <v>45</v>
      </c>
      <c r="I36" s="2" t="s">
        <v>45</v>
      </c>
      <c r="J36" s="2" t="s">
        <v>45</v>
      </c>
    </row>
    <row r="37" spans="1:10" x14ac:dyDescent="0.3">
      <c r="A37" t="s">
        <v>369</v>
      </c>
      <c r="B37" t="s">
        <v>434</v>
      </c>
      <c r="C37" t="s">
        <v>435</v>
      </c>
      <c r="D37" s="2" t="s">
        <v>45</v>
      </c>
      <c r="E37" s="2" t="s">
        <v>45</v>
      </c>
      <c r="F37" s="2" t="s">
        <v>45</v>
      </c>
      <c r="G37" s="2" t="s">
        <v>45</v>
      </c>
      <c r="H37" s="2" t="s">
        <v>45</v>
      </c>
      <c r="I37" s="2" t="s">
        <v>45</v>
      </c>
      <c r="J37" s="2" t="s">
        <v>45</v>
      </c>
    </row>
    <row r="38" spans="1:10" x14ac:dyDescent="0.3">
      <c r="A38" t="s">
        <v>369</v>
      </c>
      <c r="B38" t="s">
        <v>436</v>
      </c>
      <c r="C38" t="s">
        <v>437</v>
      </c>
      <c r="D38" s="2" t="s">
        <v>45</v>
      </c>
      <c r="E38" s="2" t="s">
        <v>45</v>
      </c>
      <c r="F38" s="2" t="s">
        <v>45</v>
      </c>
      <c r="G38" s="2" t="s">
        <v>45</v>
      </c>
      <c r="H38" s="2" t="s">
        <v>45</v>
      </c>
      <c r="I38" s="2" t="s">
        <v>45</v>
      </c>
      <c r="J38" s="2" t="s">
        <v>45</v>
      </c>
    </row>
    <row r="39" spans="1:10" x14ac:dyDescent="0.3">
      <c r="A39" t="s">
        <v>369</v>
      </c>
      <c r="B39" t="s">
        <v>438</v>
      </c>
      <c r="C39" t="s">
        <v>439</v>
      </c>
      <c r="D39" s="2" t="s">
        <v>45</v>
      </c>
      <c r="E39" s="2" t="s">
        <v>45</v>
      </c>
      <c r="F39" s="2" t="s">
        <v>45</v>
      </c>
      <c r="G39" s="2" t="s">
        <v>45</v>
      </c>
      <c r="H39" s="2" t="s">
        <v>45</v>
      </c>
      <c r="I39" s="2" t="s">
        <v>45</v>
      </c>
      <c r="J39" s="2" t="s">
        <v>45</v>
      </c>
    </row>
    <row r="40" spans="1:10" x14ac:dyDescent="0.3">
      <c r="A40" t="s">
        <v>369</v>
      </c>
      <c r="B40" t="s">
        <v>440</v>
      </c>
      <c r="C40" t="s">
        <v>441</v>
      </c>
      <c r="D40" s="2" t="s">
        <v>45</v>
      </c>
      <c r="E40" s="2" t="s">
        <v>45</v>
      </c>
      <c r="F40" s="2" t="s">
        <v>45</v>
      </c>
      <c r="G40" s="2" t="s">
        <v>45</v>
      </c>
      <c r="H40" s="2" t="s">
        <v>45</v>
      </c>
      <c r="I40" s="2" t="s">
        <v>45</v>
      </c>
      <c r="J40" s="2" t="s">
        <v>45</v>
      </c>
    </row>
    <row r="41" spans="1:10" x14ac:dyDescent="0.3">
      <c r="A41" t="s">
        <v>369</v>
      </c>
      <c r="B41" t="s">
        <v>442</v>
      </c>
      <c r="C41" t="s">
        <v>443</v>
      </c>
      <c r="D41" s="2" t="s">
        <v>45</v>
      </c>
      <c r="E41" s="2" t="s">
        <v>45</v>
      </c>
      <c r="F41" s="2" t="s">
        <v>45</v>
      </c>
      <c r="G41" s="2" t="s">
        <v>45</v>
      </c>
      <c r="H41" s="2" t="s">
        <v>45</v>
      </c>
      <c r="I41" s="2" t="s">
        <v>45</v>
      </c>
      <c r="J41" s="2" t="s">
        <v>45</v>
      </c>
    </row>
    <row r="42" spans="1:10" x14ac:dyDescent="0.3">
      <c r="A42" t="s">
        <v>369</v>
      </c>
      <c r="B42" t="s">
        <v>444</v>
      </c>
      <c r="C42" t="s">
        <v>445</v>
      </c>
      <c r="D42" s="2" t="s">
        <v>45</v>
      </c>
      <c r="E42" s="2" t="s">
        <v>45</v>
      </c>
      <c r="F42" s="2" t="s">
        <v>45</v>
      </c>
      <c r="G42" s="2" t="s">
        <v>45</v>
      </c>
      <c r="H42" s="2" t="s">
        <v>45</v>
      </c>
      <c r="I42" s="2" t="s">
        <v>45</v>
      </c>
      <c r="J42" s="2" t="s">
        <v>45</v>
      </c>
    </row>
    <row r="43" spans="1:10" x14ac:dyDescent="0.3">
      <c r="A43" t="s">
        <v>369</v>
      </c>
      <c r="B43" t="s">
        <v>446</v>
      </c>
      <c r="C43" t="s">
        <v>379</v>
      </c>
      <c r="D43" s="2" t="s">
        <v>45</v>
      </c>
      <c r="E43" s="2" t="s">
        <v>45</v>
      </c>
      <c r="F43" s="2" t="s">
        <v>45</v>
      </c>
      <c r="G43" s="2" t="s">
        <v>45</v>
      </c>
      <c r="H43" s="2" t="s">
        <v>45</v>
      </c>
      <c r="I43" s="2" t="s">
        <v>45</v>
      </c>
      <c r="J43" s="2" t="s">
        <v>45</v>
      </c>
    </row>
    <row r="44" spans="1:10" x14ac:dyDescent="0.3">
      <c r="A44" t="s">
        <v>369</v>
      </c>
      <c r="B44" t="s">
        <v>447</v>
      </c>
      <c r="C44" t="s">
        <v>379</v>
      </c>
      <c r="D44" s="2" t="s">
        <v>45</v>
      </c>
      <c r="E44" s="2" t="s">
        <v>45</v>
      </c>
      <c r="F44" s="2" t="s">
        <v>45</v>
      </c>
      <c r="G44" s="2" t="s">
        <v>45</v>
      </c>
      <c r="H44" s="2" t="s">
        <v>45</v>
      </c>
      <c r="I44" s="2" t="s">
        <v>45</v>
      </c>
      <c r="J44" s="2" t="s">
        <v>45</v>
      </c>
    </row>
    <row r="45" spans="1:10" x14ac:dyDescent="0.3">
      <c r="A45" t="s">
        <v>369</v>
      </c>
      <c r="B45" t="s">
        <v>448</v>
      </c>
      <c r="C45" t="s">
        <v>379</v>
      </c>
      <c r="D45" s="2" t="s">
        <v>45</v>
      </c>
      <c r="E45" s="2" t="s">
        <v>45</v>
      </c>
      <c r="F45" s="2" t="s">
        <v>45</v>
      </c>
      <c r="G45" s="2" t="s">
        <v>45</v>
      </c>
      <c r="H45" s="2" t="s">
        <v>45</v>
      </c>
      <c r="I45" s="2" t="s">
        <v>45</v>
      </c>
      <c r="J45" s="2" t="s">
        <v>45</v>
      </c>
    </row>
    <row r="46" spans="1:10" x14ac:dyDescent="0.3">
      <c r="A46" t="s">
        <v>369</v>
      </c>
      <c r="B46" t="s">
        <v>449</v>
      </c>
      <c r="C46" t="s">
        <v>379</v>
      </c>
      <c r="D46" s="2" t="s">
        <v>45</v>
      </c>
      <c r="E46" s="2" t="s">
        <v>45</v>
      </c>
      <c r="F46" s="2" t="s">
        <v>45</v>
      </c>
      <c r="G46" s="2" t="s">
        <v>45</v>
      </c>
      <c r="H46" s="2" t="s">
        <v>45</v>
      </c>
      <c r="I46" s="2" t="s">
        <v>45</v>
      </c>
      <c r="J46" s="2" t="s">
        <v>45</v>
      </c>
    </row>
    <row r="47" spans="1:10" x14ac:dyDescent="0.3">
      <c r="A47" t="s">
        <v>369</v>
      </c>
      <c r="B47" t="s">
        <v>450</v>
      </c>
      <c r="C47" t="s">
        <v>451</v>
      </c>
      <c r="D47" s="2" t="s">
        <v>45</v>
      </c>
      <c r="E47" s="2" t="s">
        <v>45</v>
      </c>
      <c r="F47" s="2" t="s">
        <v>45</v>
      </c>
      <c r="G47" s="2" t="s">
        <v>45</v>
      </c>
      <c r="H47" s="2" t="s">
        <v>45</v>
      </c>
      <c r="I47" s="2" t="s">
        <v>45</v>
      </c>
      <c r="J47" s="2" t="s">
        <v>45</v>
      </c>
    </row>
    <row r="48" spans="1:10" x14ac:dyDescent="0.3">
      <c r="A48" t="s">
        <v>369</v>
      </c>
      <c r="B48" t="s">
        <v>452</v>
      </c>
      <c r="C48" t="s">
        <v>379</v>
      </c>
      <c r="D48" s="2" t="s">
        <v>45</v>
      </c>
      <c r="E48" s="2" t="s">
        <v>45</v>
      </c>
      <c r="F48" s="2" t="s">
        <v>45</v>
      </c>
      <c r="G48" s="2" t="s">
        <v>45</v>
      </c>
      <c r="H48" s="2" t="s">
        <v>45</v>
      </c>
      <c r="I48" s="2" t="s">
        <v>45</v>
      </c>
      <c r="J48" s="2" t="s">
        <v>45</v>
      </c>
    </row>
    <row r="49" spans="1:10" x14ac:dyDescent="0.3">
      <c r="A49" t="s">
        <v>369</v>
      </c>
      <c r="B49" t="s">
        <v>453</v>
      </c>
      <c r="C49" t="s">
        <v>454</v>
      </c>
      <c r="D49" s="2" t="s">
        <v>45</v>
      </c>
      <c r="E49" s="2" t="s">
        <v>45</v>
      </c>
      <c r="F49" s="2" t="s">
        <v>45</v>
      </c>
      <c r="G49" s="2" t="s">
        <v>45</v>
      </c>
      <c r="H49" s="2" t="s">
        <v>45</v>
      </c>
      <c r="I49" s="2" t="s">
        <v>45</v>
      </c>
      <c r="J49" s="2" t="s">
        <v>45</v>
      </c>
    </row>
    <row r="50" spans="1:10" x14ac:dyDescent="0.3">
      <c r="A50" t="s">
        <v>369</v>
      </c>
      <c r="B50" t="s">
        <v>455</v>
      </c>
      <c r="C50" t="s">
        <v>454</v>
      </c>
      <c r="D50" s="2" t="s">
        <v>45</v>
      </c>
      <c r="E50" s="2" t="s">
        <v>45</v>
      </c>
      <c r="F50" s="2" t="s">
        <v>45</v>
      </c>
      <c r="G50" s="2" t="s">
        <v>45</v>
      </c>
      <c r="H50" s="2" t="s">
        <v>45</v>
      </c>
      <c r="I50" s="2" t="s">
        <v>45</v>
      </c>
      <c r="J50" s="2" t="s">
        <v>45</v>
      </c>
    </row>
    <row r="51" spans="1:10" x14ac:dyDescent="0.3">
      <c r="A51" t="s">
        <v>369</v>
      </c>
      <c r="B51" t="s">
        <v>456</v>
      </c>
      <c r="C51" t="s">
        <v>454</v>
      </c>
      <c r="D51" s="2" t="s">
        <v>45</v>
      </c>
      <c r="E51" s="2" t="s">
        <v>45</v>
      </c>
      <c r="F51" s="2" t="s">
        <v>45</v>
      </c>
      <c r="G51" s="2" t="s">
        <v>45</v>
      </c>
      <c r="H51" s="2" t="s">
        <v>45</v>
      </c>
      <c r="I51" s="2" t="s">
        <v>45</v>
      </c>
      <c r="J51" s="2" t="s">
        <v>45</v>
      </c>
    </row>
    <row r="52" spans="1:10" x14ac:dyDescent="0.3">
      <c r="A52" t="s">
        <v>369</v>
      </c>
      <c r="B52" t="s">
        <v>457</v>
      </c>
      <c r="C52" t="s">
        <v>454</v>
      </c>
      <c r="D52" s="2" t="s">
        <v>45</v>
      </c>
      <c r="E52" s="2" t="s">
        <v>45</v>
      </c>
      <c r="F52" s="2" t="s">
        <v>45</v>
      </c>
      <c r="G52" s="2" t="s">
        <v>45</v>
      </c>
      <c r="H52" s="2" t="s">
        <v>45</v>
      </c>
      <c r="I52" s="2" t="s">
        <v>45</v>
      </c>
      <c r="J52" s="2" t="s">
        <v>45</v>
      </c>
    </row>
    <row r="53" spans="1:10" x14ac:dyDescent="0.3">
      <c r="A53" t="s">
        <v>369</v>
      </c>
      <c r="B53" t="s">
        <v>458</v>
      </c>
      <c r="C53" t="s">
        <v>379</v>
      </c>
      <c r="D53" s="2" t="s">
        <v>45</v>
      </c>
      <c r="E53" s="2" t="s">
        <v>45</v>
      </c>
      <c r="F53" s="2" t="s">
        <v>45</v>
      </c>
      <c r="G53" s="2" t="s">
        <v>45</v>
      </c>
      <c r="H53" s="2" t="s">
        <v>45</v>
      </c>
      <c r="I53" s="2" t="s">
        <v>45</v>
      </c>
      <c r="J53" s="2" t="s">
        <v>45</v>
      </c>
    </row>
    <row r="54" spans="1:10" x14ac:dyDescent="0.3">
      <c r="A54" t="s">
        <v>369</v>
      </c>
      <c r="B54" t="s">
        <v>459</v>
      </c>
      <c r="C54" t="s">
        <v>460</v>
      </c>
      <c r="D54" s="2" t="s">
        <v>45</v>
      </c>
      <c r="E54" s="2" t="s">
        <v>45</v>
      </c>
      <c r="F54" s="2" t="s">
        <v>45</v>
      </c>
      <c r="G54" s="2" t="s">
        <v>45</v>
      </c>
      <c r="H54" s="2" t="s">
        <v>45</v>
      </c>
      <c r="I54" s="2" t="s">
        <v>45</v>
      </c>
      <c r="J54" s="2" t="s">
        <v>45</v>
      </c>
    </row>
    <row r="55" spans="1:10" x14ac:dyDescent="0.3">
      <c r="A55" t="s">
        <v>369</v>
      </c>
      <c r="B55" t="s">
        <v>461</v>
      </c>
      <c r="C55" t="s">
        <v>462</v>
      </c>
      <c r="D55" s="2" t="s">
        <v>45</v>
      </c>
      <c r="E55" s="2" t="s">
        <v>45</v>
      </c>
      <c r="F55" s="2" t="s">
        <v>45</v>
      </c>
      <c r="G55" s="2" t="s">
        <v>45</v>
      </c>
      <c r="H55" s="2" t="s">
        <v>45</v>
      </c>
      <c r="I55" s="2" t="s">
        <v>45</v>
      </c>
      <c r="J55" s="2" t="s">
        <v>45</v>
      </c>
    </row>
    <row r="56" spans="1:10" x14ac:dyDescent="0.3">
      <c r="A56" t="s">
        <v>369</v>
      </c>
      <c r="B56" t="s">
        <v>463</v>
      </c>
      <c r="C56" t="s">
        <v>464</v>
      </c>
      <c r="D56" s="2" t="s">
        <v>45</v>
      </c>
      <c r="E56" s="2" t="s">
        <v>45</v>
      </c>
      <c r="F56" s="2" t="s">
        <v>45</v>
      </c>
      <c r="G56" s="2" t="s">
        <v>45</v>
      </c>
      <c r="H56" s="2" t="s">
        <v>45</v>
      </c>
      <c r="I56" s="2" t="s">
        <v>45</v>
      </c>
      <c r="J56" s="2" t="s">
        <v>45</v>
      </c>
    </row>
    <row r="57" spans="1:10" x14ac:dyDescent="0.3">
      <c r="A57" t="s">
        <v>369</v>
      </c>
      <c r="B57" t="s">
        <v>465</v>
      </c>
      <c r="C57" t="s">
        <v>466</v>
      </c>
      <c r="D57" s="2" t="s">
        <v>45</v>
      </c>
      <c r="E57" s="2" t="s">
        <v>45</v>
      </c>
      <c r="F57" s="2" t="s">
        <v>45</v>
      </c>
      <c r="G57" s="2" t="s">
        <v>45</v>
      </c>
      <c r="H57" s="2" t="s">
        <v>45</v>
      </c>
      <c r="I57" s="2" t="s">
        <v>45</v>
      </c>
      <c r="J57" s="2" t="s">
        <v>45</v>
      </c>
    </row>
    <row r="58" spans="1:10" x14ac:dyDescent="0.3">
      <c r="A58" t="s">
        <v>369</v>
      </c>
      <c r="B58" t="s">
        <v>467</v>
      </c>
      <c r="C58" t="s">
        <v>468</v>
      </c>
      <c r="D58" s="2" t="s">
        <v>45</v>
      </c>
      <c r="E58" s="2" t="s">
        <v>45</v>
      </c>
      <c r="F58" s="2" t="s">
        <v>45</v>
      </c>
      <c r="G58" s="2" t="s">
        <v>45</v>
      </c>
      <c r="H58" s="2" t="s">
        <v>45</v>
      </c>
      <c r="I58" s="2" t="s">
        <v>45</v>
      </c>
      <c r="J58" s="2" t="s">
        <v>45</v>
      </c>
    </row>
    <row r="59" spans="1:10" x14ac:dyDescent="0.3">
      <c r="A59" t="s">
        <v>369</v>
      </c>
      <c r="B59" t="s">
        <v>469</v>
      </c>
      <c r="C59" t="s">
        <v>470</v>
      </c>
      <c r="D59" s="2" t="s">
        <v>45</v>
      </c>
      <c r="E59" s="2" t="s">
        <v>45</v>
      </c>
      <c r="F59" s="2" t="s">
        <v>45</v>
      </c>
      <c r="G59" s="2" t="s">
        <v>45</v>
      </c>
      <c r="H59" s="2" t="s">
        <v>45</v>
      </c>
      <c r="I59" s="2" t="s">
        <v>45</v>
      </c>
      <c r="J59" s="2" t="s">
        <v>45</v>
      </c>
    </row>
    <row r="60" spans="1:10" x14ac:dyDescent="0.3">
      <c r="A60" t="s">
        <v>369</v>
      </c>
      <c r="B60" t="s">
        <v>471</v>
      </c>
      <c r="C60" t="s">
        <v>379</v>
      </c>
      <c r="D60" s="2" t="s">
        <v>45</v>
      </c>
      <c r="E60" s="2" t="s">
        <v>45</v>
      </c>
      <c r="F60" s="2" t="s">
        <v>45</v>
      </c>
      <c r="G60" s="2" t="s">
        <v>45</v>
      </c>
      <c r="H60" s="2" t="s">
        <v>45</v>
      </c>
      <c r="I60" s="2" t="s">
        <v>45</v>
      </c>
      <c r="J60" s="2" t="s">
        <v>45</v>
      </c>
    </row>
    <row r="61" spans="1:10" x14ac:dyDescent="0.3">
      <c r="A61" t="s">
        <v>369</v>
      </c>
      <c r="B61" t="s">
        <v>472</v>
      </c>
      <c r="C61" t="s">
        <v>473</v>
      </c>
      <c r="D61" s="2" t="s">
        <v>45</v>
      </c>
      <c r="E61" s="2" t="s">
        <v>45</v>
      </c>
      <c r="F61" s="2" t="s">
        <v>45</v>
      </c>
      <c r="G61" s="2" t="s">
        <v>45</v>
      </c>
      <c r="H61" s="2" t="s">
        <v>45</v>
      </c>
      <c r="I61" s="2" t="s">
        <v>45</v>
      </c>
      <c r="J61" s="2" t="s">
        <v>45</v>
      </c>
    </row>
    <row r="62" spans="1:10" x14ac:dyDescent="0.3">
      <c r="A62" t="s">
        <v>369</v>
      </c>
      <c r="B62" t="s">
        <v>474</v>
      </c>
      <c r="C62" t="s">
        <v>475</v>
      </c>
      <c r="D62" s="2" t="s">
        <v>45</v>
      </c>
      <c r="E62" s="2" t="s">
        <v>45</v>
      </c>
      <c r="F62" s="2" t="s">
        <v>45</v>
      </c>
      <c r="G62" s="2" t="s">
        <v>45</v>
      </c>
      <c r="H62" s="2" t="s">
        <v>45</v>
      </c>
      <c r="I62" s="2" t="s">
        <v>45</v>
      </c>
      <c r="J62" s="2" t="s">
        <v>45</v>
      </c>
    </row>
    <row r="63" spans="1:10" x14ac:dyDescent="0.3">
      <c r="A63" t="s">
        <v>369</v>
      </c>
      <c r="B63" t="s">
        <v>476</v>
      </c>
      <c r="C63" t="s">
        <v>477</v>
      </c>
      <c r="D63" s="2" t="s">
        <v>45</v>
      </c>
      <c r="E63" s="2" t="s">
        <v>45</v>
      </c>
      <c r="F63" s="2" t="s">
        <v>45</v>
      </c>
      <c r="G63" s="2" t="s">
        <v>45</v>
      </c>
      <c r="H63" s="2" t="s">
        <v>45</v>
      </c>
      <c r="I63" s="2" t="s">
        <v>45</v>
      </c>
      <c r="J63" s="2" t="s">
        <v>45</v>
      </c>
    </row>
    <row r="64" spans="1:10" x14ac:dyDescent="0.3">
      <c r="A64" t="s">
        <v>369</v>
      </c>
      <c r="B64" t="s">
        <v>478</v>
      </c>
      <c r="C64" t="s">
        <v>479</v>
      </c>
      <c r="D64" s="2" t="s">
        <v>45</v>
      </c>
      <c r="E64" s="2" t="s">
        <v>45</v>
      </c>
      <c r="F64" s="2" t="s">
        <v>45</v>
      </c>
      <c r="G64" s="2" t="s">
        <v>45</v>
      </c>
      <c r="H64" s="2" t="s">
        <v>45</v>
      </c>
      <c r="I64" s="2" t="s">
        <v>45</v>
      </c>
      <c r="J64" s="2" t="s">
        <v>45</v>
      </c>
    </row>
    <row r="65" spans="1:10" x14ac:dyDescent="0.3">
      <c r="A65" t="s">
        <v>369</v>
      </c>
      <c r="B65" t="s">
        <v>480</v>
      </c>
      <c r="C65" t="s">
        <v>481</v>
      </c>
      <c r="D65" s="2" t="s">
        <v>45</v>
      </c>
      <c r="E65" s="2" t="s">
        <v>45</v>
      </c>
      <c r="F65" s="2" t="s">
        <v>45</v>
      </c>
      <c r="G65" s="2" t="s">
        <v>45</v>
      </c>
      <c r="H65" s="2" t="s">
        <v>45</v>
      </c>
      <c r="I65" s="2" t="s">
        <v>45</v>
      </c>
      <c r="J65" s="2" t="s">
        <v>45</v>
      </c>
    </row>
    <row r="66" spans="1:10" x14ac:dyDescent="0.3">
      <c r="A66" t="s">
        <v>369</v>
      </c>
      <c r="B66" t="s">
        <v>482</v>
      </c>
      <c r="C66" t="s">
        <v>483</v>
      </c>
      <c r="D66" s="2" t="s">
        <v>45</v>
      </c>
      <c r="E66" s="2" t="s">
        <v>45</v>
      </c>
      <c r="F66" s="2" t="s">
        <v>45</v>
      </c>
      <c r="G66" s="2" t="s">
        <v>45</v>
      </c>
      <c r="H66" s="2" t="s">
        <v>45</v>
      </c>
      <c r="I66" s="2" t="s">
        <v>45</v>
      </c>
      <c r="J66" s="2" t="s">
        <v>45</v>
      </c>
    </row>
    <row r="67" spans="1:10" x14ac:dyDescent="0.3">
      <c r="A67" t="s">
        <v>369</v>
      </c>
      <c r="B67" t="s">
        <v>484</v>
      </c>
      <c r="C67" t="s">
        <v>485</v>
      </c>
      <c r="D67" s="2" t="s">
        <v>45</v>
      </c>
      <c r="E67" s="2" t="s">
        <v>45</v>
      </c>
      <c r="F67" s="2" t="s">
        <v>45</v>
      </c>
      <c r="G67" s="2" t="s">
        <v>45</v>
      </c>
      <c r="H67" s="2" t="s">
        <v>45</v>
      </c>
      <c r="I67" s="2" t="s">
        <v>45</v>
      </c>
      <c r="J67" s="2" t="s">
        <v>45</v>
      </c>
    </row>
    <row r="68" spans="1:10" x14ac:dyDescent="0.3">
      <c r="A68" t="s">
        <v>369</v>
      </c>
      <c r="B68" t="s">
        <v>486</v>
      </c>
      <c r="C68" t="s">
        <v>487</v>
      </c>
      <c r="D68" s="2" t="s">
        <v>45</v>
      </c>
      <c r="E68" s="2" t="s">
        <v>45</v>
      </c>
      <c r="F68" s="2" t="s">
        <v>45</v>
      </c>
      <c r="G68" s="2" t="s">
        <v>45</v>
      </c>
      <c r="H68" s="2" t="s">
        <v>45</v>
      </c>
      <c r="I68" s="2" t="s">
        <v>45</v>
      </c>
      <c r="J68" s="2" t="s">
        <v>45</v>
      </c>
    </row>
    <row r="69" spans="1:10" x14ac:dyDescent="0.3">
      <c r="A69" t="s">
        <v>369</v>
      </c>
      <c r="B69" t="s">
        <v>488</v>
      </c>
      <c r="C69" t="s">
        <v>379</v>
      </c>
      <c r="D69" s="2" t="s">
        <v>45</v>
      </c>
      <c r="E69" s="2" t="s">
        <v>45</v>
      </c>
      <c r="F69" s="2" t="s">
        <v>45</v>
      </c>
      <c r="G69" s="2" t="s">
        <v>45</v>
      </c>
      <c r="H69" s="2" t="s">
        <v>45</v>
      </c>
      <c r="I69" s="2" t="s">
        <v>45</v>
      </c>
      <c r="J69" s="2" t="s">
        <v>45</v>
      </c>
    </row>
    <row r="70" spans="1:10" x14ac:dyDescent="0.3">
      <c r="A70" t="s">
        <v>369</v>
      </c>
      <c r="B70" t="s">
        <v>489</v>
      </c>
      <c r="C70" t="s">
        <v>490</v>
      </c>
      <c r="D70" s="2" t="s">
        <v>45</v>
      </c>
      <c r="E70" s="2" t="s">
        <v>45</v>
      </c>
      <c r="F70" s="2" t="s">
        <v>45</v>
      </c>
      <c r="G70" s="2" t="s">
        <v>45</v>
      </c>
      <c r="H70" s="2" t="s">
        <v>45</v>
      </c>
      <c r="I70" s="2" t="s">
        <v>45</v>
      </c>
      <c r="J70" s="2" t="s">
        <v>45</v>
      </c>
    </row>
    <row r="71" spans="1:10" x14ac:dyDescent="0.3">
      <c r="A71" t="s">
        <v>369</v>
      </c>
      <c r="B71" t="s">
        <v>491</v>
      </c>
      <c r="C71" t="s">
        <v>492</v>
      </c>
      <c r="D71" s="2" t="s">
        <v>45</v>
      </c>
      <c r="E71" s="2" t="s">
        <v>45</v>
      </c>
      <c r="F71" s="2" t="s">
        <v>45</v>
      </c>
      <c r="G71" s="2" t="s">
        <v>45</v>
      </c>
      <c r="H71" s="2" t="s">
        <v>45</v>
      </c>
      <c r="I71" s="2" t="s">
        <v>45</v>
      </c>
      <c r="J71" s="2" t="s">
        <v>45</v>
      </c>
    </row>
    <row r="72" spans="1:10" x14ac:dyDescent="0.3">
      <c r="A72" t="s">
        <v>369</v>
      </c>
      <c r="B72" t="s">
        <v>493</v>
      </c>
      <c r="C72" t="s">
        <v>494</v>
      </c>
      <c r="D72" s="2" t="s">
        <v>45</v>
      </c>
      <c r="E72" s="2" t="s">
        <v>45</v>
      </c>
      <c r="F72" s="2" t="s">
        <v>45</v>
      </c>
      <c r="G72" s="2" t="s">
        <v>45</v>
      </c>
      <c r="H72" s="2" t="s">
        <v>45</v>
      </c>
      <c r="I72" s="2" t="s">
        <v>45</v>
      </c>
      <c r="J72" s="2" t="s">
        <v>45</v>
      </c>
    </row>
    <row r="73" spans="1:10" x14ac:dyDescent="0.3">
      <c r="A73" t="s">
        <v>369</v>
      </c>
      <c r="B73" t="s">
        <v>495</v>
      </c>
      <c r="C73" t="s">
        <v>496</v>
      </c>
      <c r="D73" s="2" t="s">
        <v>45</v>
      </c>
      <c r="E73" s="2" t="s">
        <v>45</v>
      </c>
      <c r="F73" s="2" t="s">
        <v>45</v>
      </c>
      <c r="G73" s="2" t="s">
        <v>45</v>
      </c>
      <c r="H73" s="2" t="s">
        <v>45</v>
      </c>
      <c r="I73" s="2" t="s">
        <v>45</v>
      </c>
      <c r="J73" s="2" t="s">
        <v>45</v>
      </c>
    </row>
    <row r="74" spans="1:10" x14ac:dyDescent="0.3">
      <c r="A74" t="s">
        <v>369</v>
      </c>
      <c r="B74" t="s">
        <v>497</v>
      </c>
      <c r="C74" t="s">
        <v>496</v>
      </c>
      <c r="D74" s="2" t="s">
        <v>45</v>
      </c>
      <c r="E74" s="2" t="s">
        <v>45</v>
      </c>
      <c r="F74" s="2" t="s">
        <v>45</v>
      </c>
      <c r="G74" s="2" t="s">
        <v>45</v>
      </c>
      <c r="H74" s="2" t="s">
        <v>45</v>
      </c>
      <c r="I74" s="2" t="s">
        <v>45</v>
      </c>
      <c r="J74" s="2" t="s">
        <v>45</v>
      </c>
    </row>
    <row r="75" spans="1:10" x14ac:dyDescent="0.3">
      <c r="A75" t="s">
        <v>369</v>
      </c>
      <c r="B75" t="s">
        <v>498</v>
      </c>
      <c r="C75" t="s">
        <v>499</v>
      </c>
      <c r="D75" s="2" t="s">
        <v>45</v>
      </c>
      <c r="E75" s="2" t="s">
        <v>45</v>
      </c>
      <c r="F75" s="2" t="s">
        <v>45</v>
      </c>
      <c r="G75" s="2" t="s">
        <v>45</v>
      </c>
      <c r="H75" s="2" t="s">
        <v>45</v>
      </c>
      <c r="I75" s="2" t="s">
        <v>45</v>
      </c>
      <c r="J75" s="2" t="s">
        <v>45</v>
      </c>
    </row>
    <row r="76" spans="1:10" x14ac:dyDescent="0.3">
      <c r="A76" t="s">
        <v>369</v>
      </c>
      <c r="B76" t="s">
        <v>500</v>
      </c>
      <c r="C76" t="s">
        <v>499</v>
      </c>
      <c r="D76" s="2" t="s">
        <v>45</v>
      </c>
      <c r="E76" s="2" t="s">
        <v>45</v>
      </c>
      <c r="F76" s="2" t="s">
        <v>45</v>
      </c>
      <c r="G76" s="2" t="s">
        <v>45</v>
      </c>
      <c r="H76" s="2" t="s">
        <v>45</v>
      </c>
      <c r="I76" s="2" t="s">
        <v>45</v>
      </c>
      <c r="J76" s="2" t="s">
        <v>45</v>
      </c>
    </row>
    <row r="77" spans="1:10" x14ac:dyDescent="0.3">
      <c r="A77" t="s">
        <v>369</v>
      </c>
      <c r="B77" t="s">
        <v>501</v>
      </c>
      <c r="C77" t="s">
        <v>502</v>
      </c>
      <c r="D77" s="2" t="s">
        <v>45</v>
      </c>
      <c r="E77" s="2" t="s">
        <v>45</v>
      </c>
      <c r="F77" s="2" t="s">
        <v>45</v>
      </c>
      <c r="G77" s="2" t="s">
        <v>45</v>
      </c>
      <c r="H77" s="2" t="s">
        <v>45</v>
      </c>
      <c r="I77" s="2" t="s">
        <v>45</v>
      </c>
      <c r="J77" s="2" t="s">
        <v>45</v>
      </c>
    </row>
    <row r="78" spans="1:10" x14ac:dyDescent="0.3">
      <c r="A78" t="s">
        <v>369</v>
      </c>
      <c r="B78" t="s">
        <v>503</v>
      </c>
      <c r="C78" t="s">
        <v>504</v>
      </c>
      <c r="D78" s="2" t="s">
        <v>45</v>
      </c>
      <c r="E78" s="2" t="s">
        <v>45</v>
      </c>
      <c r="F78" s="2" t="s">
        <v>45</v>
      </c>
      <c r="G78" s="2" t="s">
        <v>45</v>
      </c>
      <c r="H78" s="2" t="s">
        <v>45</v>
      </c>
      <c r="I78" s="2" t="s">
        <v>45</v>
      </c>
      <c r="J78" s="2" t="s">
        <v>45</v>
      </c>
    </row>
    <row r="79" spans="1:10" x14ac:dyDescent="0.3">
      <c r="A79" t="s">
        <v>369</v>
      </c>
      <c r="B79" t="s">
        <v>505</v>
      </c>
      <c r="C79" t="s">
        <v>506</v>
      </c>
      <c r="D79" s="2" t="s">
        <v>45</v>
      </c>
      <c r="E79" s="2" t="s">
        <v>45</v>
      </c>
      <c r="F79" s="2" t="s">
        <v>45</v>
      </c>
      <c r="G79" s="2" t="s">
        <v>45</v>
      </c>
      <c r="H79" s="2" t="s">
        <v>45</v>
      </c>
      <c r="I79" s="2" t="s">
        <v>45</v>
      </c>
      <c r="J79" s="2" t="s">
        <v>45</v>
      </c>
    </row>
    <row r="80" spans="1:10" x14ac:dyDescent="0.3">
      <c r="A80" t="s">
        <v>369</v>
      </c>
      <c r="B80" t="s">
        <v>507</v>
      </c>
      <c r="C80" t="s">
        <v>508</v>
      </c>
      <c r="D80" s="2" t="s">
        <v>45</v>
      </c>
      <c r="E80" s="2" t="s">
        <v>45</v>
      </c>
      <c r="F80" s="2" t="s">
        <v>45</v>
      </c>
      <c r="G80" s="2" t="s">
        <v>45</v>
      </c>
      <c r="H80" s="2" t="s">
        <v>45</v>
      </c>
      <c r="I80" s="2" t="s">
        <v>45</v>
      </c>
      <c r="J80" s="2" t="s">
        <v>45</v>
      </c>
    </row>
    <row r="81" spans="1:10" x14ac:dyDescent="0.3">
      <c r="A81" t="s">
        <v>369</v>
      </c>
      <c r="B81" t="s">
        <v>509</v>
      </c>
      <c r="C81" t="s">
        <v>510</v>
      </c>
      <c r="D81" s="2" t="s">
        <v>45</v>
      </c>
      <c r="E81" s="2" t="s">
        <v>45</v>
      </c>
      <c r="F81" s="2" t="s">
        <v>45</v>
      </c>
      <c r="G81" s="2" t="s">
        <v>45</v>
      </c>
      <c r="H81" s="2" t="s">
        <v>45</v>
      </c>
      <c r="I81" s="2" t="s">
        <v>45</v>
      </c>
      <c r="J81" s="2" t="s">
        <v>45</v>
      </c>
    </row>
    <row r="82" spans="1:10" x14ac:dyDescent="0.3">
      <c r="A82" t="s">
        <v>369</v>
      </c>
      <c r="B82" t="s">
        <v>511</v>
      </c>
      <c r="C82" t="s">
        <v>512</v>
      </c>
      <c r="D82" s="2" t="s">
        <v>45</v>
      </c>
      <c r="E82" s="2" t="s">
        <v>45</v>
      </c>
      <c r="F82" s="2" t="s">
        <v>45</v>
      </c>
      <c r="G82" s="2" t="s">
        <v>45</v>
      </c>
      <c r="H82" s="2" t="s">
        <v>45</v>
      </c>
      <c r="I82" s="2" t="s">
        <v>45</v>
      </c>
      <c r="J82" s="2" t="s">
        <v>45</v>
      </c>
    </row>
    <row r="83" spans="1:10" x14ac:dyDescent="0.3">
      <c r="A83" t="s">
        <v>369</v>
      </c>
      <c r="B83" t="s">
        <v>513</v>
      </c>
      <c r="C83" t="s">
        <v>514</v>
      </c>
      <c r="D83" s="2" t="s">
        <v>45</v>
      </c>
      <c r="E83" s="2" t="s">
        <v>45</v>
      </c>
      <c r="F83" s="2" t="s">
        <v>45</v>
      </c>
      <c r="G83" s="2" t="s">
        <v>45</v>
      </c>
      <c r="H83" s="2" t="s">
        <v>45</v>
      </c>
      <c r="I83" s="2" t="s">
        <v>45</v>
      </c>
      <c r="J83" s="2" t="s">
        <v>45</v>
      </c>
    </row>
    <row r="84" spans="1:10" x14ac:dyDescent="0.3">
      <c r="A84" t="s">
        <v>369</v>
      </c>
      <c r="B84" t="s">
        <v>515</v>
      </c>
      <c r="C84" t="s">
        <v>516</v>
      </c>
      <c r="D84" s="2" t="s">
        <v>45</v>
      </c>
      <c r="E84" s="2" t="s">
        <v>45</v>
      </c>
      <c r="F84" s="2" t="s">
        <v>45</v>
      </c>
      <c r="G84" s="2" t="s">
        <v>45</v>
      </c>
      <c r="H84" s="2" t="s">
        <v>45</v>
      </c>
      <c r="I84" s="2" t="s">
        <v>45</v>
      </c>
      <c r="J84" s="2" t="s">
        <v>45</v>
      </c>
    </row>
    <row r="85" spans="1:10" x14ac:dyDescent="0.3">
      <c r="A85" t="s">
        <v>369</v>
      </c>
      <c r="B85" t="s">
        <v>517</v>
      </c>
      <c r="C85" t="s">
        <v>518</v>
      </c>
      <c r="D85" s="2" t="s">
        <v>45</v>
      </c>
      <c r="E85" s="2" t="s">
        <v>45</v>
      </c>
      <c r="F85" s="2" t="s">
        <v>45</v>
      </c>
      <c r="G85" s="2" t="s">
        <v>45</v>
      </c>
      <c r="H85" s="2" t="s">
        <v>45</v>
      </c>
      <c r="I85" s="2" t="s">
        <v>45</v>
      </c>
      <c r="J85" s="2" t="s">
        <v>45</v>
      </c>
    </row>
    <row r="86" spans="1:10" x14ac:dyDescent="0.3">
      <c r="A86" t="s">
        <v>369</v>
      </c>
      <c r="B86" t="s">
        <v>519</v>
      </c>
      <c r="C86" t="s">
        <v>520</v>
      </c>
      <c r="D86" s="2" t="s">
        <v>45</v>
      </c>
      <c r="E86" s="2" t="s">
        <v>45</v>
      </c>
      <c r="F86" s="2" t="s">
        <v>45</v>
      </c>
      <c r="G86" s="2" t="s">
        <v>45</v>
      </c>
      <c r="H86" s="2" t="s">
        <v>45</v>
      </c>
      <c r="I86" s="2" t="s">
        <v>45</v>
      </c>
      <c r="J86" s="2" t="s">
        <v>45</v>
      </c>
    </row>
    <row r="87" spans="1:10" x14ac:dyDescent="0.3">
      <c r="A87" t="s">
        <v>369</v>
      </c>
      <c r="B87" t="s">
        <v>521</v>
      </c>
      <c r="C87" t="s">
        <v>522</v>
      </c>
      <c r="D87" s="2" t="s">
        <v>45</v>
      </c>
      <c r="E87" s="2" t="s">
        <v>45</v>
      </c>
      <c r="F87" s="2" t="s">
        <v>45</v>
      </c>
      <c r="G87" s="2" t="s">
        <v>45</v>
      </c>
      <c r="H87" s="2" t="s">
        <v>45</v>
      </c>
      <c r="I87" s="2" t="s">
        <v>45</v>
      </c>
      <c r="J87" s="2" t="s">
        <v>45</v>
      </c>
    </row>
    <row r="88" spans="1:10" x14ac:dyDescent="0.3">
      <c r="A88" t="s">
        <v>369</v>
      </c>
      <c r="B88" t="s">
        <v>523</v>
      </c>
      <c r="C88" t="s">
        <v>524</v>
      </c>
      <c r="D88" s="2" t="s">
        <v>45</v>
      </c>
      <c r="E88" s="2" t="s">
        <v>45</v>
      </c>
      <c r="F88" s="2" t="s">
        <v>45</v>
      </c>
      <c r="G88" s="2" t="s">
        <v>45</v>
      </c>
      <c r="H88" s="2" t="s">
        <v>45</v>
      </c>
      <c r="I88" s="2" t="s">
        <v>45</v>
      </c>
      <c r="J88" s="2" t="s">
        <v>45</v>
      </c>
    </row>
    <row r="89" spans="1:10" x14ac:dyDescent="0.3">
      <c r="A89" t="s">
        <v>369</v>
      </c>
      <c r="B89" t="s">
        <v>525</v>
      </c>
      <c r="C89" t="s">
        <v>526</v>
      </c>
      <c r="D89" s="2" t="s">
        <v>45</v>
      </c>
      <c r="E89" s="2" t="s">
        <v>45</v>
      </c>
      <c r="F89" s="2" t="s">
        <v>45</v>
      </c>
      <c r="G89" s="2" t="s">
        <v>45</v>
      </c>
      <c r="H89" s="2" t="s">
        <v>45</v>
      </c>
      <c r="I89" s="2" t="s">
        <v>45</v>
      </c>
      <c r="J89" s="2" t="s">
        <v>45</v>
      </c>
    </row>
    <row r="90" spans="1:10" x14ac:dyDescent="0.3">
      <c r="A90" t="s">
        <v>369</v>
      </c>
      <c r="B90" t="s">
        <v>527</v>
      </c>
      <c r="C90" t="s">
        <v>528</v>
      </c>
      <c r="D90" s="2" t="s">
        <v>45</v>
      </c>
      <c r="E90" s="2" t="s">
        <v>45</v>
      </c>
      <c r="F90" s="2" t="s">
        <v>45</v>
      </c>
      <c r="G90" s="2" t="s">
        <v>45</v>
      </c>
      <c r="H90" s="2" t="s">
        <v>45</v>
      </c>
      <c r="I90" s="2" t="s">
        <v>45</v>
      </c>
      <c r="J90" s="2" t="s">
        <v>45</v>
      </c>
    </row>
    <row r="91" spans="1:10" x14ac:dyDescent="0.3">
      <c r="A91" t="s">
        <v>369</v>
      </c>
      <c r="B91" t="s">
        <v>529</v>
      </c>
      <c r="C91" t="s">
        <v>530</v>
      </c>
      <c r="D91" s="2" t="s">
        <v>45</v>
      </c>
      <c r="E91" s="2" t="s">
        <v>45</v>
      </c>
      <c r="F91" s="2" t="s">
        <v>45</v>
      </c>
      <c r="G91" s="2" t="s">
        <v>45</v>
      </c>
      <c r="H91" s="2" t="s">
        <v>45</v>
      </c>
      <c r="I91" s="2" t="s">
        <v>45</v>
      </c>
      <c r="J91" s="2" t="s">
        <v>45</v>
      </c>
    </row>
    <row r="92" spans="1:10" x14ac:dyDescent="0.3">
      <c r="A92" t="s">
        <v>369</v>
      </c>
      <c r="B92" t="s">
        <v>531</v>
      </c>
      <c r="C92" t="s">
        <v>532</v>
      </c>
      <c r="D92" s="2" t="s">
        <v>45</v>
      </c>
      <c r="E92" s="2" t="s">
        <v>45</v>
      </c>
      <c r="F92" s="2" t="s">
        <v>45</v>
      </c>
      <c r="G92" s="2" t="s">
        <v>45</v>
      </c>
      <c r="H92" s="2" t="s">
        <v>45</v>
      </c>
      <c r="I92" s="2" t="s">
        <v>45</v>
      </c>
      <c r="J92" s="2" t="s">
        <v>45</v>
      </c>
    </row>
    <row r="93" spans="1:10" x14ac:dyDescent="0.3">
      <c r="A93" t="s">
        <v>369</v>
      </c>
      <c r="B93" t="s">
        <v>533</v>
      </c>
      <c r="C93" t="s">
        <v>534</v>
      </c>
      <c r="D93" s="2" t="s">
        <v>45</v>
      </c>
      <c r="E93" s="2" t="s">
        <v>45</v>
      </c>
      <c r="F93" s="2" t="s">
        <v>45</v>
      </c>
      <c r="G93" s="2" t="s">
        <v>45</v>
      </c>
      <c r="H93" s="2" t="s">
        <v>45</v>
      </c>
      <c r="I93" s="2" t="s">
        <v>45</v>
      </c>
      <c r="J93" s="2" t="s">
        <v>45</v>
      </c>
    </row>
    <row r="94" spans="1:10" x14ac:dyDescent="0.3">
      <c r="A94" t="s">
        <v>369</v>
      </c>
      <c r="B94" t="s">
        <v>535</v>
      </c>
      <c r="C94" t="s">
        <v>536</v>
      </c>
      <c r="D94" s="2" t="s">
        <v>45</v>
      </c>
      <c r="E94" s="2" t="s">
        <v>45</v>
      </c>
      <c r="F94" s="2" t="s">
        <v>45</v>
      </c>
      <c r="G94" s="2" t="s">
        <v>45</v>
      </c>
      <c r="H94" s="2" t="s">
        <v>45</v>
      </c>
      <c r="I94" s="2" t="s">
        <v>45</v>
      </c>
      <c r="J94" s="2" t="s">
        <v>45</v>
      </c>
    </row>
    <row r="95" spans="1:10" x14ac:dyDescent="0.3">
      <c r="A95" t="s">
        <v>369</v>
      </c>
      <c r="B95" t="s">
        <v>537</v>
      </c>
      <c r="C95" t="s">
        <v>538</v>
      </c>
      <c r="D95" s="2" t="s">
        <v>45</v>
      </c>
      <c r="E95" s="2" t="s">
        <v>45</v>
      </c>
      <c r="F95" s="2" t="s">
        <v>45</v>
      </c>
      <c r="G95" s="2" t="s">
        <v>45</v>
      </c>
      <c r="H95" s="2" t="s">
        <v>45</v>
      </c>
      <c r="I95" s="2" t="s">
        <v>45</v>
      </c>
      <c r="J95" s="2" t="s">
        <v>45</v>
      </c>
    </row>
    <row r="96" spans="1:10" x14ac:dyDescent="0.3">
      <c r="A96" t="s">
        <v>369</v>
      </c>
      <c r="B96" t="s">
        <v>539</v>
      </c>
      <c r="C96" t="s">
        <v>540</v>
      </c>
      <c r="D96" s="2" t="s">
        <v>45</v>
      </c>
      <c r="E96" s="2" t="s">
        <v>45</v>
      </c>
      <c r="F96" s="2" t="s">
        <v>45</v>
      </c>
      <c r="G96" s="2" t="s">
        <v>45</v>
      </c>
      <c r="H96" s="2" t="s">
        <v>45</v>
      </c>
      <c r="I96" s="2" t="s">
        <v>45</v>
      </c>
      <c r="J96" s="2" t="s">
        <v>45</v>
      </c>
    </row>
    <row r="97" spans="1:10" x14ac:dyDescent="0.3">
      <c r="A97" t="s">
        <v>369</v>
      </c>
      <c r="B97" t="s">
        <v>541</v>
      </c>
      <c r="C97" t="s">
        <v>379</v>
      </c>
      <c r="D97" s="2" t="s">
        <v>45</v>
      </c>
      <c r="E97" s="2" t="s">
        <v>45</v>
      </c>
      <c r="F97" s="2" t="s">
        <v>45</v>
      </c>
      <c r="G97" s="2" t="s">
        <v>45</v>
      </c>
      <c r="H97" s="2" t="s">
        <v>45</v>
      </c>
      <c r="I97" s="2" t="s">
        <v>45</v>
      </c>
      <c r="J97" s="2" t="s">
        <v>45</v>
      </c>
    </row>
    <row r="98" spans="1:10" x14ac:dyDescent="0.3">
      <c r="A98" t="s">
        <v>542</v>
      </c>
      <c r="B98" t="s">
        <v>543</v>
      </c>
      <c r="C98" t="s">
        <v>544</v>
      </c>
      <c r="D98" s="2" t="s">
        <v>45</v>
      </c>
      <c r="E98" s="2" t="s">
        <v>45</v>
      </c>
      <c r="F98" s="2" t="s">
        <v>45</v>
      </c>
      <c r="G98" s="2" t="s">
        <v>45</v>
      </c>
      <c r="H98" s="2" t="s">
        <v>45</v>
      </c>
      <c r="I98" s="2" t="s">
        <v>45</v>
      </c>
      <c r="J98" s="2" t="s">
        <v>45</v>
      </c>
    </row>
    <row r="99" spans="1:10" x14ac:dyDescent="0.3">
      <c r="A99" t="s">
        <v>542</v>
      </c>
      <c r="B99" t="s">
        <v>543</v>
      </c>
      <c r="C99" t="s">
        <v>545</v>
      </c>
      <c r="D99" s="2" t="s">
        <v>45</v>
      </c>
      <c r="E99" s="2" t="s">
        <v>45</v>
      </c>
      <c r="F99" s="2" t="s">
        <v>45</v>
      </c>
      <c r="G99" s="2" t="s">
        <v>45</v>
      </c>
      <c r="H99" s="2" t="s">
        <v>45</v>
      </c>
      <c r="I99" s="2" t="s">
        <v>45</v>
      </c>
      <c r="J99" s="2" t="s">
        <v>45</v>
      </c>
    </row>
    <row r="100" spans="1:10" x14ac:dyDescent="0.3">
      <c r="A100" t="s">
        <v>542</v>
      </c>
      <c r="B100" t="s">
        <v>543</v>
      </c>
      <c r="C100" t="s">
        <v>546</v>
      </c>
      <c r="D100" s="2" t="s">
        <v>45</v>
      </c>
      <c r="E100" s="2" t="s">
        <v>45</v>
      </c>
      <c r="F100" s="2" t="s">
        <v>45</v>
      </c>
      <c r="G100" s="2" t="s">
        <v>45</v>
      </c>
      <c r="H100" s="2" t="s">
        <v>45</v>
      </c>
      <c r="I100" s="2" t="s">
        <v>45</v>
      </c>
      <c r="J100" s="2" t="s">
        <v>45</v>
      </c>
    </row>
    <row r="101" spans="1:10" x14ac:dyDescent="0.3">
      <c r="A101" t="s">
        <v>542</v>
      </c>
      <c r="B101" t="s">
        <v>543</v>
      </c>
      <c r="C101" t="s">
        <v>547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s">
        <v>45</v>
      </c>
      <c r="I101" s="2" t="s">
        <v>45</v>
      </c>
      <c r="J101" s="2" t="s">
        <v>45</v>
      </c>
    </row>
    <row r="102" spans="1:10" x14ac:dyDescent="0.3">
      <c r="A102" t="s">
        <v>542</v>
      </c>
      <c r="B102" t="s">
        <v>548</v>
      </c>
      <c r="C102" t="s">
        <v>549</v>
      </c>
      <c r="D102" s="2" t="s">
        <v>45</v>
      </c>
      <c r="E102" s="2" t="s">
        <v>45</v>
      </c>
      <c r="F102" s="2" t="s">
        <v>45</v>
      </c>
      <c r="G102" s="2" t="s">
        <v>45</v>
      </c>
      <c r="H102" s="2" t="s">
        <v>45</v>
      </c>
      <c r="I102" s="2" t="s">
        <v>45</v>
      </c>
      <c r="J102" s="2" t="s">
        <v>45</v>
      </c>
    </row>
    <row r="103" spans="1:10" x14ac:dyDescent="0.3">
      <c r="A103" t="s">
        <v>542</v>
      </c>
      <c r="B103" t="s">
        <v>550</v>
      </c>
      <c r="C103" t="s">
        <v>551</v>
      </c>
      <c r="D103" s="2" t="s">
        <v>45</v>
      </c>
      <c r="E103" s="2" t="s">
        <v>45</v>
      </c>
      <c r="F103" s="2" t="s">
        <v>45</v>
      </c>
      <c r="G103" s="2" t="s">
        <v>45</v>
      </c>
      <c r="H103" s="2" t="s">
        <v>45</v>
      </c>
      <c r="I103" s="2" t="s">
        <v>45</v>
      </c>
      <c r="J103" s="2" t="s">
        <v>45</v>
      </c>
    </row>
    <row r="104" spans="1:10" x14ac:dyDescent="0.3">
      <c r="A104" t="s">
        <v>542</v>
      </c>
      <c r="B104" t="s">
        <v>552</v>
      </c>
      <c r="C104" t="s">
        <v>553</v>
      </c>
      <c r="D104" s="2" t="s">
        <v>45</v>
      </c>
      <c r="E104" s="2" t="s">
        <v>45</v>
      </c>
      <c r="F104" s="2" t="s">
        <v>45</v>
      </c>
      <c r="G104" s="2" t="s">
        <v>45</v>
      </c>
      <c r="H104" s="2" t="s">
        <v>45</v>
      </c>
      <c r="I104" s="2" t="s">
        <v>45</v>
      </c>
      <c r="J104" s="2" t="s">
        <v>45</v>
      </c>
    </row>
    <row r="105" spans="1:10" x14ac:dyDescent="0.3">
      <c r="A105" t="s">
        <v>542</v>
      </c>
      <c r="B105" t="s">
        <v>554</v>
      </c>
      <c r="C105" t="s">
        <v>555</v>
      </c>
      <c r="D105" s="2" t="s">
        <v>45</v>
      </c>
      <c r="E105" s="2" t="s">
        <v>45</v>
      </c>
      <c r="F105" s="2" t="s">
        <v>45</v>
      </c>
      <c r="G105" s="2" t="s">
        <v>45</v>
      </c>
      <c r="H105" s="2" t="s">
        <v>45</v>
      </c>
      <c r="I105" s="2" t="s">
        <v>45</v>
      </c>
      <c r="J105" s="2" t="s">
        <v>45</v>
      </c>
    </row>
    <row r="106" spans="1:10" x14ac:dyDescent="0.3">
      <c r="A106" t="s">
        <v>542</v>
      </c>
      <c r="B106" t="s">
        <v>554</v>
      </c>
      <c r="C106" t="s">
        <v>556</v>
      </c>
      <c r="D106" s="2" t="s">
        <v>45</v>
      </c>
      <c r="E106" s="2" t="s">
        <v>45</v>
      </c>
      <c r="F106" s="2" t="s">
        <v>45</v>
      </c>
      <c r="G106" s="2" t="s">
        <v>45</v>
      </c>
      <c r="H106" s="2" t="s">
        <v>45</v>
      </c>
      <c r="I106" s="2" t="s">
        <v>45</v>
      </c>
      <c r="J106" s="2" t="s">
        <v>45</v>
      </c>
    </row>
    <row r="107" spans="1:10" x14ac:dyDescent="0.3">
      <c r="A107" t="s">
        <v>542</v>
      </c>
      <c r="B107" t="s">
        <v>557</v>
      </c>
      <c r="C107" t="s">
        <v>558</v>
      </c>
      <c r="D107" s="2" t="s">
        <v>45</v>
      </c>
      <c r="E107" s="2" t="s">
        <v>45</v>
      </c>
      <c r="F107" s="2" t="s">
        <v>45</v>
      </c>
      <c r="G107" s="2" t="s">
        <v>45</v>
      </c>
      <c r="H107" s="2" t="s">
        <v>45</v>
      </c>
      <c r="I107" s="2" t="s">
        <v>45</v>
      </c>
      <c r="J107" s="2" t="s">
        <v>45</v>
      </c>
    </row>
    <row r="108" spans="1:10" x14ac:dyDescent="0.3">
      <c r="A108" t="s">
        <v>542</v>
      </c>
      <c r="B108" t="s">
        <v>559</v>
      </c>
      <c r="C108" t="s">
        <v>560</v>
      </c>
      <c r="D108" s="2" t="s">
        <v>45</v>
      </c>
      <c r="E108" s="2" t="s">
        <v>45</v>
      </c>
      <c r="F108" s="2" t="s">
        <v>45</v>
      </c>
      <c r="G108" s="2" t="s">
        <v>45</v>
      </c>
      <c r="H108" s="2" t="s">
        <v>45</v>
      </c>
      <c r="I108" s="2" t="s">
        <v>45</v>
      </c>
      <c r="J108" s="2" t="s">
        <v>45</v>
      </c>
    </row>
    <row r="109" spans="1:10" x14ac:dyDescent="0.3">
      <c r="A109" t="s">
        <v>542</v>
      </c>
      <c r="B109" t="s">
        <v>561</v>
      </c>
      <c r="C109" t="s">
        <v>562</v>
      </c>
      <c r="D109" s="2" t="s">
        <v>45</v>
      </c>
      <c r="E109" s="2" t="s">
        <v>45</v>
      </c>
      <c r="F109" s="2" t="s">
        <v>45</v>
      </c>
      <c r="G109" s="2" t="s">
        <v>45</v>
      </c>
      <c r="H109" s="2" t="s">
        <v>45</v>
      </c>
      <c r="I109" s="2" t="s">
        <v>45</v>
      </c>
      <c r="J109" s="2" t="s">
        <v>45</v>
      </c>
    </row>
    <row r="110" spans="1:10" x14ac:dyDescent="0.3">
      <c r="A110" t="s">
        <v>563</v>
      </c>
      <c r="B110" t="s">
        <v>564</v>
      </c>
      <c r="C110" t="s">
        <v>565</v>
      </c>
      <c r="D110" s="2" t="s">
        <v>45</v>
      </c>
      <c r="E110" s="2" t="s">
        <v>45</v>
      </c>
      <c r="F110" s="2" t="s">
        <v>45</v>
      </c>
      <c r="G110" s="2" t="s">
        <v>45</v>
      </c>
      <c r="H110" s="2" t="s">
        <v>45</v>
      </c>
      <c r="I110" s="2" t="s">
        <v>45</v>
      </c>
      <c r="J110" s="2" t="s">
        <v>45</v>
      </c>
    </row>
    <row r="111" spans="1:10" x14ac:dyDescent="0.3">
      <c r="A111" t="s">
        <v>563</v>
      </c>
      <c r="B111" t="s">
        <v>566</v>
      </c>
      <c r="C111" t="s">
        <v>567</v>
      </c>
      <c r="D111" s="2" t="s">
        <v>45</v>
      </c>
      <c r="E111" s="2" t="s">
        <v>45</v>
      </c>
      <c r="F111" s="2" t="s">
        <v>45</v>
      </c>
      <c r="G111" s="2" t="s">
        <v>45</v>
      </c>
      <c r="H111" s="2" t="s">
        <v>45</v>
      </c>
      <c r="I111" s="2" t="s">
        <v>45</v>
      </c>
      <c r="J111" s="2" t="s">
        <v>45</v>
      </c>
    </row>
    <row r="112" spans="1:10" x14ac:dyDescent="0.3">
      <c r="A112" t="s">
        <v>563</v>
      </c>
      <c r="B112" t="s">
        <v>568</v>
      </c>
      <c r="C112" t="s">
        <v>569</v>
      </c>
      <c r="D112" s="2" t="s">
        <v>45</v>
      </c>
      <c r="E112" s="2" t="s">
        <v>45</v>
      </c>
      <c r="F112" s="2" t="s">
        <v>45</v>
      </c>
      <c r="G112" s="2" t="s">
        <v>45</v>
      </c>
      <c r="H112" s="2" t="s">
        <v>45</v>
      </c>
      <c r="I112" s="2" t="s">
        <v>45</v>
      </c>
      <c r="J112" s="2" t="s">
        <v>45</v>
      </c>
    </row>
    <row r="113" spans="1:10" x14ac:dyDescent="0.3">
      <c r="A113" t="s">
        <v>563</v>
      </c>
      <c r="B113" t="s">
        <v>570</v>
      </c>
      <c r="C113" t="s">
        <v>571</v>
      </c>
      <c r="D113" s="2" t="s">
        <v>45</v>
      </c>
      <c r="E113" s="2" t="s">
        <v>45</v>
      </c>
      <c r="F113" s="2" t="s">
        <v>45</v>
      </c>
      <c r="G113" s="2" t="s">
        <v>45</v>
      </c>
      <c r="H113" s="2" t="s">
        <v>45</v>
      </c>
      <c r="I113" s="2" t="s">
        <v>45</v>
      </c>
      <c r="J113" s="2" t="s">
        <v>45</v>
      </c>
    </row>
    <row r="114" spans="1:10" x14ac:dyDescent="0.3">
      <c r="A114" t="s">
        <v>563</v>
      </c>
      <c r="B114" t="s">
        <v>572</v>
      </c>
      <c r="C114" t="s">
        <v>573</v>
      </c>
      <c r="D114" s="2" t="s">
        <v>45</v>
      </c>
      <c r="E114" s="2" t="s">
        <v>45</v>
      </c>
      <c r="F114" s="2" t="s">
        <v>45</v>
      </c>
      <c r="G114" s="2" t="s">
        <v>45</v>
      </c>
      <c r="H114" s="2" t="s">
        <v>45</v>
      </c>
      <c r="I114" s="2" t="s">
        <v>45</v>
      </c>
      <c r="J114" s="2" t="s">
        <v>45</v>
      </c>
    </row>
    <row r="115" spans="1:10" x14ac:dyDescent="0.3">
      <c r="A115" t="s">
        <v>563</v>
      </c>
      <c r="B115" t="s">
        <v>574</v>
      </c>
      <c r="C115" t="s">
        <v>575</v>
      </c>
      <c r="D115" s="2" t="s">
        <v>45</v>
      </c>
      <c r="E115" s="2" t="s">
        <v>45</v>
      </c>
      <c r="F115" s="2" t="s">
        <v>45</v>
      </c>
      <c r="G115" s="2" t="s">
        <v>45</v>
      </c>
      <c r="H115" s="2" t="s">
        <v>45</v>
      </c>
      <c r="I115" s="2" t="s">
        <v>45</v>
      </c>
      <c r="J115" s="2" t="s">
        <v>45</v>
      </c>
    </row>
    <row r="116" spans="1:10" x14ac:dyDescent="0.3">
      <c r="A116" t="s">
        <v>563</v>
      </c>
      <c r="B116" t="s">
        <v>576</v>
      </c>
      <c r="C116" t="s">
        <v>577</v>
      </c>
      <c r="D116" s="2" t="s">
        <v>45</v>
      </c>
      <c r="E116" s="2" t="s">
        <v>45</v>
      </c>
      <c r="F116" s="2" t="s">
        <v>45</v>
      </c>
      <c r="G116" s="2" t="s">
        <v>45</v>
      </c>
      <c r="H116" s="2" t="s">
        <v>45</v>
      </c>
      <c r="I116" s="2" t="s">
        <v>45</v>
      </c>
      <c r="J116" s="2" t="s">
        <v>45</v>
      </c>
    </row>
    <row r="117" spans="1:10" x14ac:dyDescent="0.3">
      <c r="A117" t="s">
        <v>563</v>
      </c>
      <c r="B117" t="s">
        <v>578</v>
      </c>
      <c r="C117" t="s">
        <v>579</v>
      </c>
      <c r="D117" s="2" t="s">
        <v>45</v>
      </c>
      <c r="E117" s="2" t="s">
        <v>45</v>
      </c>
      <c r="F117" s="2" t="s">
        <v>45</v>
      </c>
      <c r="G117" s="2" t="s">
        <v>45</v>
      </c>
      <c r="H117" s="2" t="s">
        <v>45</v>
      </c>
      <c r="I117" s="2" t="s">
        <v>45</v>
      </c>
      <c r="J117" s="2" t="s">
        <v>45</v>
      </c>
    </row>
    <row r="118" spans="1:10" x14ac:dyDescent="0.3">
      <c r="A118" t="s">
        <v>563</v>
      </c>
      <c r="B118" t="s">
        <v>580</v>
      </c>
      <c r="C118" t="s">
        <v>581</v>
      </c>
      <c r="D118" s="2" t="s">
        <v>45</v>
      </c>
      <c r="E118" s="2" t="s">
        <v>45</v>
      </c>
      <c r="F118" s="2" t="s">
        <v>45</v>
      </c>
      <c r="G118" s="2" t="s">
        <v>45</v>
      </c>
      <c r="H118" s="2" t="s">
        <v>45</v>
      </c>
      <c r="I118" s="2" t="s">
        <v>45</v>
      </c>
      <c r="J118" s="2" t="s">
        <v>45</v>
      </c>
    </row>
    <row r="119" spans="1:10" x14ac:dyDescent="0.3">
      <c r="A119" t="s">
        <v>563</v>
      </c>
      <c r="B119" t="s">
        <v>582</v>
      </c>
      <c r="C119" t="s">
        <v>583</v>
      </c>
      <c r="D119" s="2" t="s">
        <v>45</v>
      </c>
      <c r="E119" s="2" t="s">
        <v>45</v>
      </c>
      <c r="F119" s="2" t="s">
        <v>45</v>
      </c>
      <c r="G119" s="2" t="s">
        <v>45</v>
      </c>
      <c r="H119" s="2" t="s">
        <v>45</v>
      </c>
      <c r="I119" s="2" t="s">
        <v>45</v>
      </c>
      <c r="J119" s="2" t="s">
        <v>45</v>
      </c>
    </row>
    <row r="120" spans="1:10" x14ac:dyDescent="0.3">
      <c r="A120" t="s">
        <v>563</v>
      </c>
      <c r="B120" t="s">
        <v>584</v>
      </c>
      <c r="C120" t="s">
        <v>573</v>
      </c>
      <c r="D120" s="2" t="s">
        <v>45</v>
      </c>
      <c r="E120" s="2" t="s">
        <v>45</v>
      </c>
      <c r="F120" s="2" t="s">
        <v>45</v>
      </c>
      <c r="G120" s="2" t="s">
        <v>45</v>
      </c>
      <c r="H120" s="2" t="s">
        <v>45</v>
      </c>
      <c r="I120" s="2" t="s">
        <v>45</v>
      </c>
      <c r="J120" s="2" t="s">
        <v>45</v>
      </c>
    </row>
    <row r="121" spans="1:10" x14ac:dyDescent="0.3">
      <c r="A121" t="s">
        <v>563</v>
      </c>
      <c r="B121" t="s">
        <v>585</v>
      </c>
      <c r="C121" t="s">
        <v>573</v>
      </c>
      <c r="D121" s="2" t="s">
        <v>45</v>
      </c>
      <c r="E121" s="2" t="s">
        <v>45</v>
      </c>
      <c r="F121" s="2" t="s">
        <v>45</v>
      </c>
      <c r="G121" s="2" t="s">
        <v>45</v>
      </c>
      <c r="H121" s="2" t="s">
        <v>45</v>
      </c>
      <c r="I121" s="2" t="s">
        <v>45</v>
      </c>
      <c r="J121" s="2" t="s">
        <v>45</v>
      </c>
    </row>
    <row r="122" spans="1:10" x14ac:dyDescent="0.3">
      <c r="A122" t="s">
        <v>563</v>
      </c>
      <c r="B122" t="s">
        <v>586</v>
      </c>
      <c r="C122" t="s">
        <v>583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s">
        <v>45</v>
      </c>
      <c r="I122" s="2" t="s">
        <v>45</v>
      </c>
      <c r="J122" s="2" t="s">
        <v>45</v>
      </c>
    </row>
    <row r="123" spans="1:10" x14ac:dyDescent="0.3">
      <c r="A123" t="s">
        <v>563</v>
      </c>
      <c r="B123" t="s">
        <v>587</v>
      </c>
      <c r="C123" t="s">
        <v>573</v>
      </c>
      <c r="D123" s="2" t="s">
        <v>45</v>
      </c>
      <c r="E123" s="2" t="s">
        <v>45</v>
      </c>
      <c r="F123" s="2" t="s">
        <v>45</v>
      </c>
      <c r="G123" s="2" t="s">
        <v>45</v>
      </c>
      <c r="H123" s="2" t="s">
        <v>45</v>
      </c>
      <c r="I123" s="2" t="s">
        <v>45</v>
      </c>
      <c r="J123" s="2" t="s">
        <v>45</v>
      </c>
    </row>
    <row r="124" spans="1:10" x14ac:dyDescent="0.3">
      <c r="A124" t="s">
        <v>563</v>
      </c>
      <c r="B124" t="s">
        <v>588</v>
      </c>
      <c r="C124" t="s">
        <v>583</v>
      </c>
      <c r="D124" s="2" t="s">
        <v>45</v>
      </c>
      <c r="E124" s="2" t="s">
        <v>45</v>
      </c>
      <c r="F124" s="2" t="s">
        <v>45</v>
      </c>
      <c r="G124" s="2" t="s">
        <v>45</v>
      </c>
      <c r="H124" s="2" t="s">
        <v>45</v>
      </c>
      <c r="I124" s="2" t="s">
        <v>45</v>
      </c>
      <c r="J124" s="2" t="s">
        <v>45</v>
      </c>
    </row>
    <row r="125" spans="1:10" x14ac:dyDescent="0.3">
      <c r="A125" t="s">
        <v>563</v>
      </c>
      <c r="B125" t="s">
        <v>589</v>
      </c>
      <c r="C125" t="s">
        <v>590</v>
      </c>
      <c r="D125" s="2" t="s">
        <v>45</v>
      </c>
      <c r="E125" s="2" t="s">
        <v>45</v>
      </c>
      <c r="F125" s="2" t="s">
        <v>45</v>
      </c>
      <c r="G125" s="2" t="s">
        <v>45</v>
      </c>
      <c r="H125" s="2" t="s">
        <v>45</v>
      </c>
      <c r="I125" s="2" t="s">
        <v>45</v>
      </c>
      <c r="J125" s="2" t="s">
        <v>45</v>
      </c>
    </row>
    <row r="126" spans="1:10" x14ac:dyDescent="0.3">
      <c r="A126" t="s">
        <v>563</v>
      </c>
      <c r="B126" t="s">
        <v>591</v>
      </c>
      <c r="C126" t="s">
        <v>583</v>
      </c>
      <c r="D126" s="2" t="s">
        <v>45</v>
      </c>
      <c r="E126" s="2" t="s">
        <v>45</v>
      </c>
      <c r="F126" s="2" t="s">
        <v>45</v>
      </c>
      <c r="G126" s="2" t="s">
        <v>45</v>
      </c>
      <c r="H126" s="2" t="s">
        <v>45</v>
      </c>
      <c r="I126" s="2" t="s">
        <v>45</v>
      </c>
      <c r="J126" s="2" t="s">
        <v>45</v>
      </c>
    </row>
    <row r="127" spans="1:10" x14ac:dyDescent="0.3">
      <c r="A127" t="s">
        <v>563</v>
      </c>
      <c r="B127" t="s">
        <v>592</v>
      </c>
      <c r="C127" t="s">
        <v>583</v>
      </c>
      <c r="D127" s="2" t="s">
        <v>45</v>
      </c>
      <c r="E127" s="2" t="s">
        <v>45</v>
      </c>
      <c r="F127" s="2" t="s">
        <v>45</v>
      </c>
      <c r="G127" s="2" t="s">
        <v>45</v>
      </c>
      <c r="H127" s="2" t="s">
        <v>45</v>
      </c>
      <c r="I127" s="2" t="s">
        <v>45</v>
      </c>
      <c r="J127" s="2" t="s">
        <v>45</v>
      </c>
    </row>
    <row r="128" spans="1:10" x14ac:dyDescent="0.3">
      <c r="A128" t="s">
        <v>563</v>
      </c>
      <c r="B128" t="s">
        <v>593</v>
      </c>
      <c r="C128" t="s">
        <v>583</v>
      </c>
      <c r="D128" s="2" t="s">
        <v>45</v>
      </c>
      <c r="E128" s="2" t="s">
        <v>45</v>
      </c>
      <c r="F128" s="2" t="s">
        <v>45</v>
      </c>
      <c r="G128" s="2" t="s">
        <v>45</v>
      </c>
      <c r="H128" s="2" t="s">
        <v>45</v>
      </c>
      <c r="I128" s="2" t="s">
        <v>45</v>
      </c>
      <c r="J128" s="2" t="s">
        <v>45</v>
      </c>
    </row>
    <row r="129" spans="1:10" x14ac:dyDescent="0.3">
      <c r="A129" t="s">
        <v>594</v>
      </c>
      <c r="B129" t="s">
        <v>595</v>
      </c>
      <c r="C129" t="s">
        <v>596</v>
      </c>
      <c r="D129" s="2" t="s">
        <v>45</v>
      </c>
      <c r="E129" s="2" t="s">
        <v>45</v>
      </c>
      <c r="F129" s="2" t="s">
        <v>45</v>
      </c>
      <c r="G129" s="2" t="s">
        <v>45</v>
      </c>
      <c r="H129" s="2" t="s">
        <v>45</v>
      </c>
      <c r="I129" s="2" t="s">
        <v>45</v>
      </c>
      <c r="J129" s="2" t="s">
        <v>45</v>
      </c>
    </row>
    <row r="130" spans="1:10" x14ac:dyDescent="0.3">
      <c r="A130" t="s">
        <v>594</v>
      </c>
      <c r="B130" t="s">
        <v>597</v>
      </c>
      <c r="C130" t="s">
        <v>598</v>
      </c>
      <c r="D130" s="2" t="s">
        <v>45</v>
      </c>
      <c r="E130" s="2" t="s">
        <v>45</v>
      </c>
      <c r="F130" s="2" t="s">
        <v>45</v>
      </c>
      <c r="G130" s="2" t="s">
        <v>45</v>
      </c>
      <c r="H130" s="2" t="s">
        <v>45</v>
      </c>
      <c r="I130" s="2" t="s">
        <v>45</v>
      </c>
      <c r="J130" s="2" t="s">
        <v>45</v>
      </c>
    </row>
    <row r="131" spans="1:10" x14ac:dyDescent="0.3">
      <c r="A131" t="s">
        <v>594</v>
      </c>
      <c r="B131" t="s">
        <v>599</v>
      </c>
      <c r="C131" t="s">
        <v>600</v>
      </c>
      <c r="D131" s="2" t="s">
        <v>45</v>
      </c>
      <c r="E131" s="2" t="s">
        <v>45</v>
      </c>
      <c r="F131" s="2" t="s">
        <v>45</v>
      </c>
      <c r="G131" s="2" t="s">
        <v>45</v>
      </c>
      <c r="H131" s="2" t="s">
        <v>45</v>
      </c>
      <c r="I131" s="2" t="s">
        <v>45</v>
      </c>
      <c r="J131" s="2" t="s">
        <v>45</v>
      </c>
    </row>
    <row r="132" spans="1:10" x14ac:dyDescent="0.3">
      <c r="A132" t="s">
        <v>594</v>
      </c>
      <c r="B132" t="s">
        <v>601</v>
      </c>
      <c r="C132" t="s">
        <v>602</v>
      </c>
      <c r="D132" s="2" t="s">
        <v>45</v>
      </c>
      <c r="E132" s="2" t="s">
        <v>45</v>
      </c>
      <c r="F132" s="2" t="s">
        <v>45</v>
      </c>
      <c r="G132" s="2" t="s">
        <v>45</v>
      </c>
      <c r="H132" s="2" t="s">
        <v>45</v>
      </c>
      <c r="I132" s="2" t="s">
        <v>45</v>
      </c>
      <c r="J132" s="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zoomScale="115" zoomScaleNormal="115" workbookViewId="0">
      <selection activeCell="I25" sqref="I25"/>
    </sheetView>
  </sheetViews>
  <sheetFormatPr defaultRowHeight="15.05" x14ac:dyDescent="0.3"/>
  <cols>
    <col min="1" max="1" width="9.5546875" bestFit="1" customWidth="1"/>
    <col min="2" max="2" width="27.33203125" bestFit="1" customWidth="1"/>
    <col min="3" max="3" width="31.6640625" customWidth="1"/>
    <col min="4" max="4" width="11.6640625" customWidth="1"/>
    <col min="5" max="5" width="11.6640625" bestFit="1" customWidth="1"/>
    <col min="6" max="6" width="15.44140625" bestFit="1" customWidth="1"/>
    <col min="7" max="7" width="14" customWidth="1"/>
    <col min="8" max="8" width="12.33203125" bestFit="1" customWidth="1"/>
    <col min="9" max="9" width="13.33203125" bestFit="1" customWidth="1"/>
    <col min="10" max="10" width="18.109375" bestFit="1" customWidth="1"/>
  </cols>
  <sheetData>
    <row r="1" spans="1:10" x14ac:dyDescent="0.3">
      <c r="A1" s="1" t="s">
        <v>40</v>
      </c>
      <c r="B1" s="1" t="s">
        <v>115</v>
      </c>
      <c r="C1" s="1" t="s">
        <v>4</v>
      </c>
      <c r="D1" s="4" t="s">
        <v>6</v>
      </c>
      <c r="E1" s="4" t="s">
        <v>8</v>
      </c>
      <c r="F1" s="4" t="s">
        <v>10</v>
      </c>
      <c r="G1" s="1" t="s">
        <v>12</v>
      </c>
      <c r="H1" s="1" t="s">
        <v>14</v>
      </c>
      <c r="I1" s="1" t="s">
        <v>16</v>
      </c>
      <c r="J1" s="1" t="s">
        <v>18</v>
      </c>
    </row>
    <row r="2" spans="1:10" x14ac:dyDescent="0.3">
      <c r="A2" t="s">
        <v>603</v>
      </c>
      <c r="B2" t="s">
        <v>604</v>
      </c>
      <c r="C2" t="s">
        <v>605</v>
      </c>
      <c r="D2" s="2" t="s">
        <v>45</v>
      </c>
      <c r="E2" s="2" t="s">
        <v>45</v>
      </c>
      <c r="F2" s="3" t="s">
        <v>606</v>
      </c>
      <c r="G2" s="2" t="s">
        <v>45</v>
      </c>
      <c r="H2" s="2" t="s">
        <v>45</v>
      </c>
      <c r="I2" s="2" t="s">
        <v>45</v>
      </c>
      <c r="J2" s="2" t="s">
        <v>45</v>
      </c>
    </row>
    <row r="3" spans="1:10" x14ac:dyDescent="0.3">
      <c r="A3" t="s">
        <v>603</v>
      </c>
      <c r="B3" t="s">
        <v>607</v>
      </c>
      <c r="C3" t="s">
        <v>608</v>
      </c>
      <c r="D3" s="2" t="s">
        <v>45</v>
      </c>
      <c r="E3" s="2" t="s">
        <v>45</v>
      </c>
      <c r="F3" s="3" t="s">
        <v>609</v>
      </c>
      <c r="G3" s="2" t="s">
        <v>45</v>
      </c>
      <c r="H3" s="2" t="s">
        <v>45</v>
      </c>
      <c r="I3" s="2" t="s">
        <v>45</v>
      </c>
      <c r="J3" s="2" t="s">
        <v>45</v>
      </c>
    </row>
    <row r="4" spans="1:10" x14ac:dyDescent="0.3">
      <c r="A4" t="s">
        <v>603</v>
      </c>
      <c r="B4" t="s">
        <v>610</v>
      </c>
      <c r="C4" t="s">
        <v>611</v>
      </c>
      <c r="D4" s="2" t="s">
        <v>45</v>
      </c>
      <c r="E4" s="2" t="s">
        <v>45</v>
      </c>
      <c r="F4" s="3" t="s">
        <v>612</v>
      </c>
      <c r="G4" s="2" t="s">
        <v>45</v>
      </c>
      <c r="H4" s="2" t="s">
        <v>45</v>
      </c>
      <c r="I4" s="2" t="s">
        <v>45</v>
      </c>
      <c r="J4" s="2" t="s">
        <v>45</v>
      </c>
    </row>
    <row r="5" spans="1:10" x14ac:dyDescent="0.3">
      <c r="A5" t="s">
        <v>603</v>
      </c>
      <c r="B5" t="s">
        <v>613</v>
      </c>
      <c r="C5" t="s">
        <v>614</v>
      </c>
      <c r="D5" s="2" t="s">
        <v>45</v>
      </c>
      <c r="E5" s="2" t="s">
        <v>45</v>
      </c>
      <c r="F5" s="3" t="s">
        <v>612</v>
      </c>
      <c r="G5" s="2" t="s">
        <v>45</v>
      </c>
      <c r="H5" s="2" t="s">
        <v>45</v>
      </c>
      <c r="I5" s="2" t="s">
        <v>45</v>
      </c>
      <c r="J5" s="2" t="s">
        <v>45</v>
      </c>
    </row>
    <row r="6" spans="1:10" x14ac:dyDescent="0.3">
      <c r="A6" t="s">
        <v>603</v>
      </c>
      <c r="B6" t="s">
        <v>615</v>
      </c>
      <c r="C6" t="s">
        <v>614</v>
      </c>
      <c r="D6" s="2" t="s">
        <v>45</v>
      </c>
      <c r="E6" s="2" t="s">
        <v>45</v>
      </c>
      <c r="F6" s="3"/>
      <c r="G6" s="2" t="s">
        <v>45</v>
      </c>
      <c r="H6" s="2" t="s">
        <v>45</v>
      </c>
      <c r="I6" s="2" t="s">
        <v>45</v>
      </c>
      <c r="J6" s="2" t="s">
        <v>45</v>
      </c>
    </row>
    <row r="7" spans="1:10" x14ac:dyDescent="0.3">
      <c r="A7" t="s">
        <v>603</v>
      </c>
      <c r="B7" t="s">
        <v>616</v>
      </c>
      <c r="C7" t="s">
        <v>617</v>
      </c>
      <c r="D7" s="2" t="s">
        <v>45</v>
      </c>
      <c r="E7" s="2" t="s">
        <v>45</v>
      </c>
      <c r="F7" s="3"/>
      <c r="G7" s="2" t="s">
        <v>45</v>
      </c>
      <c r="H7" s="2" t="s">
        <v>45</v>
      </c>
      <c r="I7" s="2" t="s">
        <v>45</v>
      </c>
      <c r="J7" s="2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16CB-01C5-4CB1-9480-A3EEE6C704A9}">
  <dimension ref="A1:I9"/>
  <sheetViews>
    <sheetView zoomScale="160" zoomScaleNormal="160" workbookViewId="0">
      <selection activeCell="A16" sqref="A16:A17"/>
    </sheetView>
  </sheetViews>
  <sheetFormatPr defaultRowHeight="15.05" x14ac:dyDescent="0.3"/>
  <cols>
    <col min="1" max="1" width="28.33203125" bestFit="1" customWidth="1"/>
    <col min="2" max="7" width="12.6640625" customWidth="1"/>
    <col min="8" max="8" width="13.33203125" bestFit="1" customWidth="1"/>
    <col min="9" max="9" width="18.109375" bestFit="1" customWidth="1"/>
  </cols>
  <sheetData>
    <row r="1" spans="1:9" x14ac:dyDescent="0.3">
      <c r="A1" s="5" t="s">
        <v>618</v>
      </c>
      <c r="B1" s="1" t="s">
        <v>4</v>
      </c>
      <c r="C1" s="4" t="s">
        <v>6</v>
      </c>
      <c r="D1" s="4" t="s">
        <v>8</v>
      </c>
      <c r="E1" s="5" t="s">
        <v>10</v>
      </c>
      <c r="F1" s="1" t="s">
        <v>12</v>
      </c>
      <c r="G1" s="1" t="s">
        <v>14</v>
      </c>
      <c r="H1" s="1" t="s">
        <v>16</v>
      </c>
      <c r="I1" s="1" t="s">
        <v>18</v>
      </c>
    </row>
    <row r="2" spans="1:9" x14ac:dyDescent="0.3">
      <c r="A2" t="s">
        <v>619</v>
      </c>
      <c r="B2">
        <v>23544</v>
      </c>
      <c r="C2">
        <v>23280</v>
      </c>
      <c r="D2">
        <v>23385</v>
      </c>
      <c r="E2">
        <v>23453</v>
      </c>
      <c r="F2">
        <v>23339</v>
      </c>
      <c r="G2">
        <v>23792</v>
      </c>
    </row>
    <row r="3" spans="1:9" x14ac:dyDescent="0.3">
      <c r="A3" t="s">
        <v>620</v>
      </c>
      <c r="B3">
        <v>18103</v>
      </c>
      <c r="C3">
        <v>17989</v>
      </c>
      <c r="D3">
        <v>17988</v>
      </c>
      <c r="E3">
        <v>17599</v>
      </c>
      <c r="F3">
        <v>18013</v>
      </c>
      <c r="G3">
        <v>18114</v>
      </c>
    </row>
    <row r="4" spans="1:9" x14ac:dyDescent="0.3">
      <c r="A4" t="s">
        <v>621</v>
      </c>
      <c r="B4">
        <v>4391</v>
      </c>
      <c r="C4">
        <v>4329</v>
      </c>
      <c r="D4">
        <v>4347</v>
      </c>
      <c r="E4">
        <v>4371</v>
      </c>
      <c r="F4">
        <v>4267</v>
      </c>
      <c r="G4">
        <v>4494</v>
      </c>
    </row>
    <row r="5" spans="1:9" x14ac:dyDescent="0.3">
      <c r="A5" t="s">
        <v>622</v>
      </c>
      <c r="B5">
        <v>1050</v>
      </c>
      <c r="C5">
        <v>962</v>
      </c>
      <c r="D5">
        <v>1050</v>
      </c>
      <c r="E5">
        <v>1483</v>
      </c>
      <c r="F5">
        <v>1059</v>
      </c>
      <c r="G5">
        <v>1185</v>
      </c>
    </row>
    <row r="6" spans="1:9" x14ac:dyDescent="0.3">
      <c r="A6" t="s">
        <v>623</v>
      </c>
      <c r="B6">
        <v>89.1</v>
      </c>
      <c r="C6">
        <v>89.9</v>
      </c>
      <c r="D6">
        <v>86.07</v>
      </c>
      <c r="E6">
        <v>100.9</v>
      </c>
      <c r="F6">
        <v>83.9</v>
      </c>
      <c r="G6">
        <v>72.8</v>
      </c>
    </row>
    <row r="7" spans="1:9" x14ac:dyDescent="0.3">
      <c r="A7" t="s">
        <v>624</v>
      </c>
      <c r="B7">
        <v>86.03</v>
      </c>
      <c r="C7">
        <v>86.81</v>
      </c>
      <c r="D7">
        <v>86.07</v>
      </c>
      <c r="E7">
        <v>92.46</v>
      </c>
      <c r="F7">
        <v>80.86</v>
      </c>
      <c r="G7">
        <v>68.760000000000005</v>
      </c>
    </row>
    <row r="8" spans="1:9" x14ac:dyDescent="0.3">
      <c r="A8" t="s">
        <v>625</v>
      </c>
      <c r="B8">
        <v>-0.72399999999999998</v>
      </c>
      <c r="C8">
        <v>-1.2749999999999999</v>
      </c>
      <c r="D8">
        <v>-0.71899999999999997</v>
      </c>
      <c r="E8" s="6">
        <v>3173</v>
      </c>
      <c r="F8">
        <v>-0.66100000000000003</v>
      </c>
      <c r="G8">
        <v>-1.155</v>
      </c>
    </row>
    <row r="9" spans="1:9" x14ac:dyDescent="0.3">
      <c r="A9" t="s">
        <v>626</v>
      </c>
      <c r="B9" t="s">
        <v>627</v>
      </c>
      <c r="C9" t="s">
        <v>627</v>
      </c>
      <c r="D9" t="s">
        <v>627</v>
      </c>
      <c r="E9" t="s">
        <v>627</v>
      </c>
      <c r="F9" t="s">
        <v>628</v>
      </c>
      <c r="G9" t="s">
        <v>628</v>
      </c>
    </row>
  </sheetData>
  <conditionalFormatting sqref="B2:G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2e3c1a-d678-4045-ab86-cec8bd5b223c" xsi:nil="true"/>
    <lcf76f155ced4ddcb4097134ff3c332f xmlns="53694279-be3b-48f4-abf1-f846896aa1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1D8F13C92F2D4AA551A876B7C6A7A3" ma:contentTypeVersion="14" ma:contentTypeDescription="Opret et nyt dokument." ma:contentTypeScope="" ma:versionID="8dda2dd57fc26df75ab243af18280374">
  <xsd:schema xmlns:xsd="http://www.w3.org/2001/XMLSchema" xmlns:xs="http://www.w3.org/2001/XMLSchema" xmlns:p="http://schemas.microsoft.com/office/2006/metadata/properties" xmlns:ns2="53694279-be3b-48f4-abf1-f846896aa128" xmlns:ns3="fb2e3c1a-d678-4045-ab86-cec8bd5b223c" targetNamespace="http://schemas.microsoft.com/office/2006/metadata/properties" ma:root="true" ma:fieldsID="dd07e19499abe0f09366e12dd300ca23" ns2:_="" ns3:_="">
    <xsd:import namespace="53694279-be3b-48f4-abf1-f846896aa128"/>
    <xsd:import namespace="fb2e3c1a-d678-4045-ab86-cec8bd5b2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94279-be3b-48f4-abf1-f846896aa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cfe49cd5-0d4f-4079-a2e1-3a71b1890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e3c1a-d678-4045-ab86-cec8bd5b22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259ba-daea-4186-9ee7-5b2073ce4a5f}" ma:internalName="TaxCatchAll" ma:showField="CatchAllData" ma:web="fb2e3c1a-d678-4045-ab86-cec8bd5b2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3EBFE-BDD2-4DD1-A23A-FEBE2B8116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4E28E8-2B4E-4ACE-B2A0-1F06A700D4BC}">
  <ds:schemaRefs>
    <ds:schemaRef ds:uri="http://schemas.microsoft.com/office/2006/metadata/properties"/>
    <ds:schemaRef ds:uri="http://schemas.microsoft.com/office/infopath/2007/PartnerControls"/>
    <ds:schemaRef ds:uri="fb2e3c1a-d678-4045-ab86-cec8bd5b223c"/>
    <ds:schemaRef ds:uri="53694279-be3b-48f4-abf1-f846896aa128"/>
  </ds:schemaRefs>
</ds:datastoreItem>
</file>

<file path=customXml/itemProps3.xml><?xml version="1.0" encoding="utf-8"?>
<ds:datastoreItem xmlns:ds="http://schemas.openxmlformats.org/officeDocument/2006/customXml" ds:itemID="{ADFED745-DB06-4485-A384-9D65B0BE7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94279-be3b-48f4-abf1-f846896aa128"/>
    <ds:schemaRef ds:uri="fb2e3c1a-d678-4045-ab86-cec8bd5b2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0_introduktion</vt:lpstr>
      <vt:lpstr>1_variationsmønstre</vt:lpstr>
      <vt:lpstr>2_efterspørgsel</vt:lpstr>
      <vt:lpstr>3_udbud</vt:lpstr>
      <vt:lpstr>4_omkostninger</vt:lpstr>
      <vt:lpstr>5_simulation</vt:lpstr>
      <vt:lpstr>6_hovedresultater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Linus Lindquist</cp:lastModifiedBy>
  <cp:revision/>
  <dcterms:created xsi:type="dcterms:W3CDTF">2025-11-11T13:40:14Z</dcterms:created>
  <dcterms:modified xsi:type="dcterms:W3CDTF">2026-01-12T16:18:13Z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0x0101003E1D8F13C92F2D4AA551A876B7C6A7A3</vt:lpwstr>
  </property>
  <property fmtid="{D5CDD505-2E9C-101B-9397-08002B2CF9AE}" pid="3" name="MediaServiceImageTags">
    <vt:lpwstr/>
  </property>
</Properties>
</file>