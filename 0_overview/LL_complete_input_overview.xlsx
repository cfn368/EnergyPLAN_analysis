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tankdk.sharepoint.com/sites/E-Tank/Data/PROJEKTER/02 GRØN OMSTILLING/Kernekraft - Novo Nordisk Fonden/Grøn Reform beregninger/EnergyPLAN/LL_project/0_overview/"/>
    </mc:Choice>
  </mc:AlternateContent>
  <xr:revisionPtr revIDLastSave="2228" documentId="11_4A80A4D46E13E72C953671C5A982F00C7B2CE09B" xr6:coauthVersionLast="47" xr6:coauthVersionMax="47" xr10:uidLastSave="{072E34D9-C5F0-4ACF-BB5C-8A8FEC00CD38}"/>
  <bookViews>
    <workbookView xWindow="4307" yWindow="1252" windowWidth="34298" windowHeight="22452" firstSheet="3" activeTab="3" xr2:uid="{00000000-000D-0000-FFFF-FFFF00000000}"/>
  </bookViews>
  <sheets>
    <sheet name="0_introduktion" sheetId="10" r:id="rId1"/>
    <sheet name="1_variationsmønstre" sheetId="1" r:id="rId2"/>
    <sheet name="2_efterspørgsel" sheetId="2" r:id="rId3"/>
    <sheet name="3_udbud" sheetId="3" r:id="rId4"/>
    <sheet name="4_omkostninger" sheetId="5" r:id="rId5"/>
    <sheet name="5_simulation" sheetId="8" r:id="rId6"/>
    <sheet name="6_hovedresultater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I16" i="3"/>
</calcChain>
</file>

<file path=xl/sharedStrings.xml><?xml version="1.0" encoding="utf-8"?>
<sst xmlns="http://schemas.openxmlformats.org/spreadsheetml/2006/main" count="3131" uniqueCount="629">
  <si>
    <t>LL d. 14/11 2025</t>
  </si>
  <si>
    <t>Denne notesbog indeholder 8 forløb fra EnergyPLAN; herunder er de kort defineret</t>
  </si>
  <si>
    <t>Forløb</t>
  </si>
  <si>
    <t>Beskrivelse</t>
  </si>
  <si>
    <t>FOA flexible</t>
  </si>
  <si>
    <t>FOA-forløb med et kernekraftværk på 1GW med konstant variationsmønster</t>
  </si>
  <si>
    <t>FOA dh</t>
  </si>
  <si>
    <t>Samme med DH-tilpasset variationsmønster</t>
  </si>
  <si>
    <t>FOA onshore</t>
  </si>
  <si>
    <t>FOA-forløb med et kernekraftværk på 1GW med konstant variationsmønster og en ændring i hhv. hav- og landvindskapaciteterne</t>
  </si>
  <si>
    <t>FOA IDA2045</t>
  </si>
  <si>
    <t>FOA-forløb uden kernekraft og med en enorm effektkapacitet af V2G</t>
  </si>
  <si>
    <t>NOR 1GWnuc</t>
  </si>
  <si>
    <t>Norsk forløb med 1GW kernekraft, replikerer FOA, men reducerer 'hydrogen storage' og ændrer CEEP*</t>
  </si>
  <si>
    <t>NOR 3GWnuc</t>
  </si>
  <si>
    <t>Samme men med 3GW kernekraft, som erstatning for 3.26GW havvind. Sænker 'hydrogen storage' yderligere og definerer en ny CEEP</t>
  </si>
  <si>
    <t>ET: basisforløb</t>
  </si>
  <si>
    <t>…</t>
  </si>
  <si>
    <t>ET: kernekraftforløb</t>
  </si>
  <si>
    <t>*Critical Excess Electricity Production (CEEP) angiver, hvordan energisystemet skal håndtere overproduktion.</t>
  </si>
  <si>
    <t>Det er en række tal, som angiver, hvilke teknologier, som man skal benytte i den angivne rækkefølge</t>
  </si>
  <si>
    <t>Se her angivelsen:</t>
  </si>
  <si>
    <t>Faneoverblik</t>
  </si>
  <si>
    <t>1_variationsmønstre</t>
  </si>
  <si>
    <t>Angiver variationsmønstre brug i analysen. Overraskende genbruger den norske analyse FOAs antagelser komplet</t>
  </si>
  <si>
    <t>2_efterspørgsel</t>
  </si>
  <si>
    <t>Angiver alle eksogene efterspørgsler i modellen</t>
  </si>
  <si>
    <t>3_udbud</t>
  </si>
  <si>
    <t>Angiver alle eksogene udbud i modellen</t>
  </si>
  <si>
    <t>4_omkostninger</t>
  </si>
  <si>
    <t>Angiver alle omkostninger tilknyttet teknologierne. Nb. i nogle af forløbene mangler omkostninger for kernekraft, da det i stedet er indsat eksogent</t>
  </si>
  <si>
    <t>5_simulation</t>
  </si>
  <si>
    <t>Angiver den brugte simulationsstrategi. Jeg er usikker på, hvad 'Market Economic Simulation' egentligt er</t>
  </si>
  <si>
    <t>6_hovedresultater</t>
  </si>
  <si>
    <t>Samling af nogle centrale resultater fra de forskellige scenarier</t>
  </si>
  <si>
    <t>Identifikation</t>
  </si>
  <si>
    <t>Farverne er angiver ud fra afgivelser med' FOA flexible' som udgangspunkt</t>
  </si>
  <si>
    <t>Grønne celler angiver, at det alternative scenarier er ens med 'FOA flexible' i det givne input</t>
  </si>
  <si>
    <t>Røde celler angiver afvigelser fra 'FOA flexible'</t>
  </si>
  <si>
    <t>Jeg har indlagt grønne celler dér, hvor jeg umiddelbart mener, at vi for simplicitetens skyld blot kan følge FOA ala de norske analyser</t>
  </si>
  <si>
    <t>Tab</t>
  </si>
  <si>
    <t>Distribution</t>
  </si>
  <si>
    <t>Electricity</t>
  </si>
  <si>
    <t>Electricity demand</t>
  </si>
  <si>
    <t>DK 2013 Electricity demand</t>
  </si>
  <si>
    <t>-</t>
  </si>
  <si>
    <t>Nord Pool 2024</t>
  </si>
  <si>
    <t>Additional electricity demand</t>
  </si>
  <si>
    <t>const</t>
  </si>
  <si>
    <t>Fixed import/export</t>
  </si>
  <si>
    <t>Hour_Tysklandsexport</t>
  </si>
  <si>
    <t>Heating</t>
  </si>
  <si>
    <t>Heat demand</t>
  </si>
  <si>
    <t>Hour_indv-heat-50percent</t>
  </si>
  <si>
    <t>Heat production</t>
  </si>
  <si>
    <t>vpDkFjv50</t>
  </si>
  <si>
    <t>Solar thermal output</t>
  </si>
  <si>
    <t>DK Solar thermal</t>
  </si>
  <si>
    <t>Cooling</t>
  </si>
  <si>
    <t>Natural cooling input</t>
  </si>
  <si>
    <t>DistrictCoolingDemand_Gothenburg2015</t>
  </si>
  <si>
    <t>Cooling demand</t>
  </si>
  <si>
    <t>Network losses</t>
  </si>
  <si>
    <t>Industry and Fuel</t>
  </si>
  <si>
    <t>Natural gas (Ngas)</t>
  </si>
  <si>
    <t>Hydrogen</t>
  </si>
  <si>
    <t>Transport</t>
  </si>
  <si>
    <t>Hydrogen (H2)</t>
  </si>
  <si>
    <t>IDA_Transport</t>
  </si>
  <si>
    <t>Electricity (dump)</t>
  </si>
  <si>
    <t>Electricity (smart charge)</t>
  </si>
  <si>
    <t>Hour_US2001_transportation_SEV_V2G</t>
  </si>
  <si>
    <t>Desalination</t>
  </si>
  <si>
    <t>Fresh water demand</t>
  </si>
  <si>
    <t>Heat and Electricity</t>
  </si>
  <si>
    <t>CHP heat delivered</t>
  </si>
  <si>
    <t>Hour_chspel</t>
  </si>
  <si>
    <t>varme_atomkraft_dh</t>
  </si>
  <si>
    <t>Central Power Production</t>
  </si>
  <si>
    <t>Nuclear power</t>
  </si>
  <si>
    <t>el_atomkraft_dh</t>
  </si>
  <si>
    <t>Hour_wind_1</t>
  </si>
  <si>
    <t>Geothermal power</t>
  </si>
  <si>
    <t>Hydro water supply</t>
  </si>
  <si>
    <t>External wish for NX (set to 0)</t>
  </si>
  <si>
    <t>zero</t>
  </si>
  <si>
    <t>Variable RE</t>
  </si>
  <si>
    <t>Onshore wind</t>
  </si>
  <si>
    <t>DK onshorewind</t>
  </si>
  <si>
    <t>KF25 (Elsystem - timedata)</t>
  </si>
  <si>
    <t>Offshore wind</t>
  </si>
  <si>
    <t>DK offshorewind</t>
  </si>
  <si>
    <t>PV (solar PV)</t>
  </si>
  <si>
    <t>Solar PV producti</t>
  </si>
  <si>
    <t>River hydro</t>
  </si>
  <si>
    <t>Hour_solar_prod1</t>
  </si>
  <si>
    <t>Tidal power</t>
  </si>
  <si>
    <t>hour_tidal_power</t>
  </si>
  <si>
    <t>Wave power</t>
  </si>
  <si>
    <t>Hour_wawe200</t>
  </si>
  <si>
    <t>CSP (concentrated solar)</t>
  </si>
  <si>
    <t>Solar thermal</t>
  </si>
  <si>
    <t>hour_solar_prod1</t>
  </si>
  <si>
    <t>Heat Only</t>
  </si>
  <si>
    <t>Industrial excess heat</t>
  </si>
  <si>
    <t>SurplusHeatWind2035</t>
  </si>
  <si>
    <t>Waste</t>
  </si>
  <si>
    <t>Distribution of waste</t>
  </si>
  <si>
    <t>Liquid and Gas Fuels</t>
  </si>
  <si>
    <t>BioDiesel plant</t>
  </si>
  <si>
    <t>BioPetrol plant</t>
  </si>
  <si>
    <t>BioJP (jet fuel) plant</t>
  </si>
  <si>
    <t>External Electricity Market</t>
  </si>
  <si>
    <t>Price distribution</t>
  </si>
  <si>
    <t>Nord_pool_system_2013_EUR</t>
  </si>
  <si>
    <t>Variable</t>
  </si>
  <si>
    <t>30.58 TWh/year</t>
  </si>
  <si>
    <t>KF25: Tal bag Figurer (24.5): Klassisk</t>
  </si>
  <si>
    <t>11.8 TWh/year</t>
  </si>
  <si>
    <t>KF25: Tal bag Figurer (24.5): Datacentre</t>
  </si>
  <si>
    <t>Electric cooling</t>
  </si>
  <si>
    <t>1.63 TWh/year</t>
  </si>
  <si>
    <t>Flexible Demand (1 day)</t>
  </si>
  <si>
    <t>2,12 TWh/year (effect 966 MW)</t>
  </si>
  <si>
    <t>Flexible demand (1 week)</t>
  </si>
  <si>
    <t>0.6 TWh/year (effect 549 MW)</t>
  </si>
  <si>
    <t>Coal boiler</t>
  </si>
  <si>
    <t>Eff.-termal 0.8</t>
  </si>
  <si>
    <t>Oil boiler</t>
  </si>
  <si>
    <t>Eff.-termal 0.85</t>
  </si>
  <si>
    <t>Ngas boiler</t>
  </si>
  <si>
    <t>Eff.-termal 0.95</t>
  </si>
  <si>
    <t>Biomass boiler</t>
  </si>
  <si>
    <t>Eff.-termal 0.9</t>
  </si>
  <si>
    <t>H2 micro CHP</t>
  </si>
  <si>
    <t>Eff.-termal: 0.5; eff.elec: 0.3; cap-limit: 1</t>
  </si>
  <si>
    <t>Ngas micro CHP</t>
  </si>
  <si>
    <t>Biomass micro CHP</t>
  </si>
  <si>
    <t>Heat Pump</t>
  </si>
  <si>
    <t>Heat Demandl: 15.08; eff.elec: 3.9; cap-limit: 0.9</t>
  </si>
  <si>
    <t>DH Production</t>
  </si>
  <si>
    <t>Group 2: 11.88; Group 3: 23.75</t>
  </si>
  <si>
    <t>Group 1: 0.2; Group 2: 0.19; Group 3: 0.19</t>
  </si>
  <si>
    <t>Electricity for cooling</t>
  </si>
  <si>
    <t>Consumption: 1.63; COP: 1.5</t>
  </si>
  <si>
    <t>DH for cooling group 1</t>
  </si>
  <si>
    <t>COP: 2</t>
  </si>
  <si>
    <t>DH for cooling group 2</t>
  </si>
  <si>
    <t>DH for cooling group 3</t>
  </si>
  <si>
    <t>Heat pumps/chillers</t>
  </si>
  <si>
    <t>COP: 2; input: 1.3; production: 1.3</t>
  </si>
  <si>
    <t>Ngas</t>
  </si>
  <si>
    <t>Industry: 3.4</t>
  </si>
  <si>
    <t>Biomass</t>
  </si>
  <si>
    <t>JP</t>
  </si>
  <si>
    <t>Electrofuel: 10.15 TWh/year</t>
  </si>
  <si>
    <t>Diesel</t>
  </si>
  <si>
    <t>Electrofuel: 3.12 TWh/year</t>
  </si>
  <si>
    <t>Amonia</t>
  </si>
  <si>
    <t>Electrofuel: 3.64 TWh/year</t>
  </si>
  <si>
    <t>Total: 1.2 TWh/year</t>
  </si>
  <si>
    <t>Electricity dump charge</t>
  </si>
  <si>
    <t>Total: 7.13 TWh/year</t>
  </si>
  <si>
    <t>Electricity smart charge</t>
  </si>
  <si>
    <t>Total: 7.96 TWh/year</t>
  </si>
  <si>
    <t>Max. share of cars during peak</t>
  </si>
  <si>
    <t>0.2</t>
  </si>
  <si>
    <t>grid to battery cap.</t>
  </si>
  <si>
    <t>6000 MW</t>
  </si>
  <si>
    <t>40239 MW</t>
  </si>
  <si>
    <t>share of parked cars</t>
  </si>
  <si>
    <t>0.7</t>
  </si>
  <si>
    <t>Battery storage cap.</t>
  </si>
  <si>
    <t>36.63 GWh</t>
  </si>
  <si>
    <t>Capacity of B2G</t>
  </si>
  <si>
    <t>Efficiency</t>
  </si>
  <si>
    <t>0.9</t>
  </si>
  <si>
    <t>Fresh water punp eff.</t>
  </si>
  <si>
    <t>0.85 kWh/m3 water</t>
  </si>
  <si>
    <t>eff. elec. consump.</t>
  </si>
  <si>
    <t>7 kWh/m3 fresh water</t>
  </si>
  <si>
    <t>fresh water/salt water</t>
  </si>
  <si>
    <t>0.7 kWh/m3</t>
  </si>
  <si>
    <t>Brine share of salt water</t>
  </si>
  <si>
    <t>0.3 kWh/m3</t>
  </si>
  <si>
    <t>Turbine eff.</t>
  </si>
  <si>
    <t>0.9 kWh/kWh</t>
  </si>
  <si>
    <t>Pump eff.</t>
  </si>
  <si>
    <t>0.85 kWh/kWh</t>
  </si>
  <si>
    <t>Energy eq. of brine</t>
  </si>
  <si>
    <t>2 kWh/m3</t>
  </si>
  <si>
    <t>Boilers: Thermal cap.</t>
  </si>
  <si>
    <t>Gr. 2: 4644; Gr. 3: 7630.5</t>
  </si>
  <si>
    <t>Boilers: Eff.</t>
  </si>
  <si>
    <t>Gr. 1: 0.9; Gr. 2: 1; Gr. 3: 1</t>
  </si>
  <si>
    <t>Boilers: Fixed share</t>
  </si>
  <si>
    <t>Gr. 2: 0.5; Gr. 3: 0.5</t>
  </si>
  <si>
    <t>CHP condescending: Elec. cap.</t>
  </si>
  <si>
    <t>Gr. 3: 3100 MW/-e</t>
  </si>
  <si>
    <t>CHP condescending: Elec. eff.</t>
  </si>
  <si>
    <t>Gr. 3: 0.56</t>
  </si>
  <si>
    <t>CHP BP: Elec. cap.</t>
  </si>
  <si>
    <t>Gr. 2: 1461; Gr. 3; 2650</t>
  </si>
  <si>
    <t>CHP BP: Elec. eff.</t>
  </si>
  <si>
    <t>Gr. 2: 0.5; Gr. 3; 0.53</t>
  </si>
  <si>
    <t>CHP BP: Thermal eff.</t>
  </si>
  <si>
    <t>Gr. 2: 0.48; Gr. 3; 0.34</t>
  </si>
  <si>
    <t>Industrial CHP elec.</t>
  </si>
  <si>
    <t>Gr. 2: 1.12</t>
  </si>
  <si>
    <t>Condensing PP2</t>
  </si>
  <si>
    <t>Cap. 1700 MW/-e; eff. 0.45</t>
  </si>
  <si>
    <t>Nuclear</t>
  </si>
  <si>
    <t>Cap. 1000 MW/-e; eff. 0.33; cor. fac.: 0.9</t>
  </si>
  <si>
    <t>0 MW</t>
  </si>
  <si>
    <t>3000 MW</t>
  </si>
  <si>
    <t>Nuclear partload</t>
  </si>
  <si>
    <t>Transmission line capacity</t>
  </si>
  <si>
    <t>0 MW (balancing as closed system)</t>
  </si>
  <si>
    <t>10682 MW</t>
  </si>
  <si>
    <t>KF25 (El og FJV)</t>
  </si>
  <si>
    <t>både tal fra og til (10297MW)</t>
  </si>
  <si>
    <t>Wind</t>
  </si>
  <si>
    <t>Cap. 5000 MW; cor. fac. 0.543</t>
  </si>
  <si>
    <t>2915 MW</t>
  </si>
  <si>
    <t>KF25 (EL og FJV)</t>
  </si>
  <si>
    <t>Cap. 12560 MW; cor. fac. 0.395</t>
  </si>
  <si>
    <t>14075 MW</t>
  </si>
  <si>
    <t>9300 MW</t>
  </si>
  <si>
    <t>KF25 (EL og FJV) + 4800</t>
  </si>
  <si>
    <t>KF25 (EL og FJV) + 2800</t>
  </si>
  <si>
    <t>PV</t>
  </si>
  <si>
    <t>Cap. 10000 MW; cor. fac. 0.318</t>
  </si>
  <si>
    <t>Cap. 132 MW; cor. fac. 0.96</t>
  </si>
  <si>
    <t>Concentrated solar</t>
  </si>
  <si>
    <t>Storage eff. 0.5 pct./h, eff. 0.3</t>
  </si>
  <si>
    <t>Solar Thermal: Prod.</t>
  </si>
  <si>
    <t>Gr. 2: 1.65 TWh/year; Gr. 3: 0.45 TWh/year</t>
  </si>
  <si>
    <t>Solar Thermal: Storage</t>
  </si>
  <si>
    <t>Gr. 2: 10 GWh; Gr. 3: 40 GWh</t>
  </si>
  <si>
    <t>Solar Thermal: Loss</t>
  </si>
  <si>
    <t>Gr. 3: 0.01 GWh</t>
  </si>
  <si>
    <t>Solar Thermal: Share</t>
  </si>
  <si>
    <t>Gr. 1: 1Gr. 2: 0.5; Gr. 3: 1</t>
  </si>
  <si>
    <t>Compression HP: Elec. cap.</t>
  </si>
  <si>
    <t>Gr. 2: 700 MW/-e; Gr. 3: 1600 MW/-e</t>
  </si>
  <si>
    <t>Compression HP: COP</t>
  </si>
  <si>
    <t>Gr. 2: 3.9; Gr. 3: 3.9</t>
  </si>
  <si>
    <t>Geothermal heat</t>
  </si>
  <si>
    <t>Gr. 2: 2.1 TWh/year; Gr. 3: 5.44 TWh/year</t>
  </si>
  <si>
    <t>Industrial Excess Heat</t>
  </si>
  <si>
    <t>Gr. 2: 2.15 TWh/year; Gr. 3: 6.35 TWh/year</t>
  </si>
  <si>
    <t>Fuel Distribution</t>
  </si>
  <si>
    <t>CHP2</t>
  </si>
  <si>
    <t>(0,0,1,0)</t>
  </si>
  <si>
    <t>Waste input</t>
  </si>
  <si>
    <t>Gr. 2: 0.49 TWh/year; Gr. 3: 4.55 TWh/year</t>
  </si>
  <si>
    <t>DH production eff.</t>
  </si>
  <si>
    <t>Gr. 1: 0.8; Gr. 2: 0.8; Gr. 3: 0.7093</t>
  </si>
  <si>
    <t>Electricity prod. eff.</t>
  </si>
  <si>
    <t>Gr. 2: 0; Gr. 3: 0.2591</t>
  </si>
  <si>
    <t>Biofuels</t>
  </si>
  <si>
    <t>BDP: BioDiesel Share</t>
  </si>
  <si>
    <t>0.24</t>
  </si>
  <si>
    <t>BPP: Electricity share</t>
  </si>
  <si>
    <t>0.01</t>
  </si>
  <si>
    <t>BPP: Steam share</t>
  </si>
  <si>
    <t>0.12</t>
  </si>
  <si>
    <t>BPP: Steam efficiency</t>
  </si>
  <si>
    <t>1.25</t>
  </si>
  <si>
    <t>BPP: BioPetrol</t>
  </si>
  <si>
    <t>0.5</t>
  </si>
  <si>
    <t>BPP: DH gp. 3 share</t>
  </si>
  <si>
    <t>0.1</t>
  </si>
  <si>
    <t>BJPP: Electricity share</t>
  </si>
  <si>
    <t>BJPP: Steam share</t>
  </si>
  <si>
    <t>BJPP: Steam efficiency</t>
  </si>
  <si>
    <t>BJPP: BioPetrol</t>
  </si>
  <si>
    <t>BJPP: DH gp. 3 share</t>
  </si>
  <si>
    <t>Biogas</t>
  </si>
  <si>
    <t>Biogas Plant: Dry bimass</t>
  </si>
  <si>
    <t>4.89</t>
  </si>
  <si>
    <t>Biogas Plant: Wet biomass</t>
  </si>
  <si>
    <t>12.5</t>
  </si>
  <si>
    <t>Biogas Plant: Electricity</t>
  </si>
  <si>
    <t>0.6</t>
  </si>
  <si>
    <t>Biogas Plant: Pyrolysis</t>
  </si>
  <si>
    <t>1.38</t>
  </si>
  <si>
    <t>Biogas Plant: Output</t>
  </si>
  <si>
    <t>16 TWh/year biogas</t>
  </si>
  <si>
    <t>Biogas Plant: Grid eff.</t>
  </si>
  <si>
    <t>1</t>
  </si>
  <si>
    <t>Gasification Plant: Biomass</t>
  </si>
  <si>
    <t>6.94 TWh/year</t>
  </si>
  <si>
    <t>Gasification Plant: Elec. share</t>
  </si>
  <si>
    <t>0.011</t>
  </si>
  <si>
    <t>Gasification Plant: Steam share</t>
  </si>
  <si>
    <t>0.13</t>
  </si>
  <si>
    <t>Gasification Plant: Cold gas eff.</t>
  </si>
  <si>
    <t>0.801</t>
  </si>
  <si>
    <t>Gasification Plant: Grid eff.</t>
  </si>
  <si>
    <t>0.82</t>
  </si>
  <si>
    <t>Total hydrogen demand</t>
  </si>
  <si>
    <t>Cap. 4330 MW/-e; eff. fuel: 0.768; eff. DH gr4: 0.05</t>
  </si>
  <si>
    <t>Hydrogen storage</t>
  </si>
  <si>
    <t>320 GWh</t>
  </si>
  <si>
    <t>Hydro. Stor.: 180.2 GWh</t>
  </si>
  <si>
    <t>155.7 GWh</t>
  </si>
  <si>
    <t>Electrofuels</t>
  </si>
  <si>
    <t>CO2 Hydrog: SynGridGas</t>
  </si>
  <si>
    <t>Co2/Syngas: 0.189 Mton/TWh</t>
  </si>
  <si>
    <t>H2/SynGridGas: 1.206 TWh/TWh</t>
  </si>
  <si>
    <t>CO2 Hydrog: LiqFuel</t>
  </si>
  <si>
    <t>Co2/Syngass: 0.263 Mton/TWh</t>
  </si>
  <si>
    <t>H2/SynGridGas: 1.193 TWh/TWh</t>
  </si>
  <si>
    <t>Output: 5.18 TWh/year</t>
  </si>
  <si>
    <t>CO2 Hydrog: Carbon Recy.</t>
  </si>
  <si>
    <t>Elec/CO2: 0.09 TWh/Mton; Max. cap: 400 CO2/hour</t>
  </si>
  <si>
    <t>N2: N2 and hydrogen</t>
  </si>
  <si>
    <t>N2/NH3: 0.158 MTon/TWh</t>
  </si>
  <si>
    <t>hydrogen 1.145 TWh/TWh</t>
  </si>
  <si>
    <t>Output: 3.64 NH3</t>
  </si>
  <si>
    <t>N2: Nitogen capture</t>
  </si>
  <si>
    <t>Elec/N2: 0.124 TWh/Mton</t>
  </si>
  <si>
    <t>Biomass hydrogenation1</t>
  </si>
  <si>
    <t>SynGridGas eff.: 0.83, hydrogen share: 1.26</t>
  </si>
  <si>
    <t>LiqFuel eff.: 0.806, hydrogen share: 0.49</t>
  </si>
  <si>
    <t>LiqFuel output: 11.65 TWh/year</t>
  </si>
  <si>
    <t>DH gr. 3: 0.0303 share of gas+hydrogen</t>
  </si>
  <si>
    <t>Biomass hydrogenation2</t>
  </si>
  <si>
    <t>SynGridGas eff.: 0.82, hydrogen share: 0.37</t>
  </si>
  <si>
    <t>DH gr. 3: 0.05 share of gas+hydrogen</t>
  </si>
  <si>
    <t>Liquid electrofuels synt.</t>
  </si>
  <si>
    <t>Eff. (ElectroJP, Methanol,DME)=(0.7405,1,1)</t>
  </si>
  <si>
    <t>HTL and Pyrolysis</t>
  </si>
  <si>
    <t>HTL: Biomass</t>
  </si>
  <si>
    <t>4.17 TWh/year</t>
  </si>
  <si>
    <t>HTL: Fuel input eff.</t>
  </si>
  <si>
    <t>(0.446, 0.205, 0.628, 0.288, 0, 0.119, 0.162, 0.122)</t>
  </si>
  <si>
    <t>Pyrolysis: Biomass</t>
  </si>
  <si>
    <t>5.56 TWh/year</t>
  </si>
  <si>
    <t>Pyrolysis: Fuel input eff.</t>
  </si>
  <si>
    <t>(0.19, 0.069, 0.129, 0.4, 200)</t>
  </si>
  <si>
    <t>CO2</t>
  </si>
  <si>
    <t>CO2 content: Coal</t>
  </si>
  <si>
    <t>95 kg/GJ</t>
  </si>
  <si>
    <t>CO2 content: Oil, Diesel, JP</t>
  </si>
  <si>
    <t>74 kg/GJ</t>
  </si>
  <si>
    <t>CO2 content: Ngas</t>
  </si>
  <si>
    <t>56.7 kg/GJ</t>
  </si>
  <si>
    <t>CO2 content: LPG</t>
  </si>
  <si>
    <t>59.64 kg/GJ</t>
  </si>
  <si>
    <t>Balancing and Storage</t>
  </si>
  <si>
    <t>Electricity: CEEP</t>
  </si>
  <si>
    <t>CEEP: 923450000; 4.: 500 MW; 5.: 1000MW</t>
  </si>
  <si>
    <t>CEEP: 234500000</t>
  </si>
  <si>
    <t>CEEP: 234597000</t>
  </si>
  <si>
    <t>CEEP: 923457000</t>
  </si>
  <si>
    <t>Electricity: Rockbed</t>
  </si>
  <si>
    <t>loss rate: 0.05; PP1/CHP: 0.8; steam/fuel 1</t>
  </si>
  <si>
    <t>Electricity: Elec. Storage</t>
  </si>
  <si>
    <t>charge: 6000 MW; eff.: 1; Storage cap.: 820 GWh</t>
  </si>
  <si>
    <t>obs</t>
  </si>
  <si>
    <t>discar ge: 6000 MW; eff.: 1</t>
  </si>
  <si>
    <t>Thermal Storage</t>
  </si>
  <si>
    <t>Gr. 2: 56 GWh; Gr. 3: 100 GWh</t>
  </si>
  <si>
    <t>Liquid and gas guel</t>
  </si>
  <si>
    <t>Gas storage: 4500 GWh</t>
  </si>
  <si>
    <t>Cost: General</t>
  </si>
  <si>
    <t>Interest rate (%)</t>
  </si>
  <si>
    <t>Cost: Investment</t>
  </si>
  <si>
    <t>H and E: Small CHP units</t>
  </si>
  <si>
    <t>MEUR/unit: 0.89; Years: 25; % Inv.: 1.03</t>
  </si>
  <si>
    <t>H and E: Large CHP units</t>
  </si>
  <si>
    <t>MEUR/unit: 0.71; Years: 25; % Inv.: 3.33</t>
  </si>
  <si>
    <t>H and E: Heat Storage CHP</t>
  </si>
  <si>
    <t>MEUR/unit: 3; Years: 40; % Inv.: 0.29</t>
  </si>
  <si>
    <t>H and E: Waste CHP</t>
  </si>
  <si>
    <t>MEUR/unit: 217.19; Years: 25; % Inv.: 2.34</t>
  </si>
  <si>
    <t>H and E: Absorp. HP (Waste)</t>
  </si>
  <si>
    <t>MEUR/unit: 0; Years: 0; % Inv.: 0</t>
  </si>
  <si>
    <t>H and E: Heat Pump gr. 2</t>
  </si>
  <si>
    <t>MEUR/unit: 2.19; Years: 25; % Inv.: 0.52</t>
  </si>
  <si>
    <t>H and E: Heat Pump gr. 3</t>
  </si>
  <si>
    <t>H and E: DHP Boiler group 1</t>
  </si>
  <si>
    <t>H and E: Boilers gr. 2 and 3</t>
  </si>
  <si>
    <t>MEUR/unit: 0.5; Years: 25; % Inv.: 3.7</t>
  </si>
  <si>
    <t>H and E: Electr. Boiler gr. 2+3</t>
  </si>
  <si>
    <t>MEUR/unit: 0.14; Years: 20; % Inv.: 0.72</t>
  </si>
  <si>
    <t>H and E: Large Power Plants</t>
  </si>
  <si>
    <t>MEUR/unit: 0.58; Years: 25; % Inv.: 3.35</t>
  </si>
  <si>
    <t>H and E: Nuclear</t>
  </si>
  <si>
    <t>MEUR/unit: 4.12; Years: 60; % Inv.: 1.9</t>
  </si>
  <si>
    <t>0; 0; 0</t>
  </si>
  <si>
    <t>MEUR/unit: 6.18; 1.82</t>
  </si>
  <si>
    <t>MEUR/unit: 4.36; Years: 60; % Inv.: 1.9</t>
  </si>
  <si>
    <t>OECD IEA</t>
  </si>
  <si>
    <t>H and E: Interconnection</t>
  </si>
  <si>
    <t>MEUR/unit: 1.2; Years: 40; % Inv.: 1</t>
  </si>
  <si>
    <t>H and E: Charge el1 storage</t>
  </si>
  <si>
    <t>MEUR/unit: 0; Years: 40; % Inv.: 1</t>
  </si>
  <si>
    <t>H and E: Discharge el1 storage</t>
  </si>
  <si>
    <t>H and E: El1 storage cap</t>
  </si>
  <si>
    <t>MEUR/unit: 0; Years: 50; % Inv.: 1.5</t>
  </si>
  <si>
    <t>H and E: Charge el2 storage</t>
  </si>
  <si>
    <t>H and E: Discharge el2 storage</t>
  </si>
  <si>
    <t>H and E: El2 storage cap</t>
  </si>
  <si>
    <t>H and E: Indust. CHP Electr.</t>
  </si>
  <si>
    <t>MEUR/unit: 63.5; Years: 31; % Inv.: 2.14</t>
  </si>
  <si>
    <t>H and E: Indust. CHP Heat</t>
  </si>
  <si>
    <t>H and E: Rock Steam Storage</t>
  </si>
  <si>
    <t>RE: Wind</t>
  </si>
  <si>
    <t>MEUR/unit: 1.03; Years: 30; % Inv.: 1.67</t>
  </si>
  <si>
    <t>RE: Wind offshore</t>
  </si>
  <si>
    <t>MEUR/unit: 1.9; Years: 30; % Inv.: 2.51</t>
  </si>
  <si>
    <t>MEUR/unit: 2.5; Years: 30; % Inv.: 2.51</t>
  </si>
  <si>
    <t>RE: Photo Voltaic</t>
  </si>
  <si>
    <t>MEUR/unit: 0.6; Years: 40; % Inv.: 1.5</t>
  </si>
  <si>
    <t>RE: Wave power</t>
  </si>
  <si>
    <t>MEUR/unit: 2.91; Years: 26; % Inv.: 2.64</t>
  </si>
  <si>
    <t>RE: Tidal Power</t>
  </si>
  <si>
    <t>MEUR/unit: 5.33; Years: 20; % Inv.: 3.66</t>
  </si>
  <si>
    <t>RE: CSP Solar Power</t>
  </si>
  <si>
    <t>MEUR/unit: 5.98; Years: 25; % Inv.: 8.21</t>
  </si>
  <si>
    <t>RE: River of hydro</t>
  </si>
  <si>
    <t>MEUR/unit: 3.3; Years: 50; % Inv.: 2</t>
  </si>
  <si>
    <t>RE: Hydro Power</t>
  </si>
  <si>
    <t>RE: Hydro Storage</t>
  </si>
  <si>
    <t>MEUR/unit: 7.5; Years: 50; % Inv.: 1.5</t>
  </si>
  <si>
    <t>RE: Hydro Pump</t>
  </si>
  <si>
    <t>MEUR/unit: 0.6; Years: 50; % Inv.: 1.5</t>
  </si>
  <si>
    <t>RE: Geothermal Electr.</t>
  </si>
  <si>
    <t>MEUR/unit: 4.03; Years: 20; % Inv.: 3.48</t>
  </si>
  <si>
    <t>RE: Geothermal Heat</t>
  </si>
  <si>
    <t>MEUR/unit: 283.33; Years: 30; % Inv.: 1.36</t>
  </si>
  <si>
    <t>RE: Solar thermal</t>
  </si>
  <si>
    <t>MEUR/unit: 352.72; Years: 30; % Inv.: 0</t>
  </si>
  <si>
    <t>RE: Heat Storage Solar</t>
  </si>
  <si>
    <t>MEUR/unit: 0.51; Years: 25; % Inv.: 0.59</t>
  </si>
  <si>
    <t>RE: Indust. Excess Heat</t>
  </si>
  <si>
    <t>MEUR/unit: 30; Years: 30; % Inv.: 1</t>
  </si>
  <si>
    <t>L&amp;GF: Biogas Plant</t>
  </si>
  <si>
    <t>MEUR/unit: 234.06; Years: 20; % Inv.: 13.42</t>
  </si>
  <si>
    <t>L&amp;GF: Gasification Plant</t>
  </si>
  <si>
    <t>MEUR/unit: 1.58; Years: 20; % Inv.: 1.63</t>
  </si>
  <si>
    <t>L&amp;GF: BioGas Upgrade</t>
  </si>
  <si>
    <t>MEUR/unit: 0.27; Years: 15; % Inv.: 3.5</t>
  </si>
  <si>
    <t>L&amp;GF: Gasification Upgrade</t>
  </si>
  <si>
    <t>L&amp;GF: BioDiesel Plant</t>
  </si>
  <si>
    <t>L&amp;GF: BioPetrol Plant</t>
  </si>
  <si>
    <t>L&amp;GF: BioJPPlant</t>
  </si>
  <si>
    <t>L&amp;GF: Carbon Recycling</t>
  </si>
  <si>
    <t>MEUR/unit: 60; Years: 20; % Inv.: 4</t>
  </si>
  <si>
    <t>L&amp;GF: Methanation (CO2)</t>
  </si>
  <si>
    <t>L&amp;GF: LiquidFuel synth (CO2)</t>
  </si>
  <si>
    <t>MEUR/unit: 0.3; Years: 25; % Inv.: 4</t>
  </si>
  <si>
    <t>L&amp;GF: Methanation (biomass)</t>
  </si>
  <si>
    <t>L&amp;GF: LiquidFuel synth (biomass)</t>
  </si>
  <si>
    <t>L&amp;GF: Methanation (biogas)</t>
  </si>
  <si>
    <t>L&amp;GF: LiquidFuel synth (biogas)</t>
  </si>
  <si>
    <t>L&amp;GF: JP Synthesis</t>
  </si>
  <si>
    <t>MEUR/unit: 0.37; Years: 25; % Inv.: 4</t>
  </si>
  <si>
    <t>L&amp;GF: Electrolyser</t>
  </si>
  <si>
    <t>MEUR/unit: 0.6; Years: 20; % Inv.: 3</t>
  </si>
  <si>
    <t>L&amp;GF: Hydrogen Storage</t>
  </si>
  <si>
    <t>MEUR/unit: 29.7; Years: 48; % Inv.: 0.01</t>
  </si>
  <si>
    <t>L&amp;GF: Gas Storage</t>
  </si>
  <si>
    <t>MEUR/unit: 0.081; Years: 50; % Inv.: 1</t>
  </si>
  <si>
    <t>L&amp;GF: Oil Storage</t>
  </si>
  <si>
    <t>MEUR/unit: 0.023; Years: 50; % Inv.: 0.6</t>
  </si>
  <si>
    <t>L&amp;GF: Methanol Storage</t>
  </si>
  <si>
    <t>MEUR/unit: 0.052; Years: 50; % Inv.: 0.6</t>
  </si>
  <si>
    <t>L&amp;GF: Air capture unit (N2)</t>
  </si>
  <si>
    <t>L&amp;GF: Ammonia production</t>
  </si>
  <si>
    <t>MEUR/unit: 1.26; Years: 20; % Inv.: 2</t>
  </si>
  <si>
    <t>L&amp;GF: HTL</t>
  </si>
  <si>
    <t>MEUR/unit: 1.25; Years: 20; % Inv.: 4</t>
  </si>
  <si>
    <t>L&amp;GF: Pyrolysis</t>
  </si>
  <si>
    <t>MEUR/unit: 0.52; Years: 25; % Inv.: 7</t>
  </si>
  <si>
    <t>HI: Indv. boilers</t>
  </si>
  <si>
    <t>MEUR/unit: 4.52; Years: 20; % Inv.: 7.86</t>
  </si>
  <si>
    <t>HI: Indv. CHP</t>
  </si>
  <si>
    <t>MEUR/unit: 12; Years: 10; % Inv.: 0</t>
  </si>
  <si>
    <t>HI: Indv. Heat Pump</t>
  </si>
  <si>
    <t>MEUR/unit: 8.91; Years: 16; % Inv.: 2.49</t>
  </si>
  <si>
    <t>HI: Indv. Electric heat</t>
  </si>
  <si>
    <t>MEUR/unit: 2.8; Years: 30; % Inv.: 0.82</t>
  </si>
  <si>
    <t>HI: Indv. Solar thermal</t>
  </si>
  <si>
    <t>MEUR/unit: 1533; Years: 30; % Inv.: 1.35</t>
  </si>
  <si>
    <t>RV: Bicycles</t>
  </si>
  <si>
    <t>RV: Motorbikes</t>
  </si>
  <si>
    <t>MEUR/unit: 6; Years: 15; % Inv.: 5</t>
  </si>
  <si>
    <t>RV: Electric Cars</t>
  </si>
  <si>
    <t>MEUR/unit: 18.1; Years: 16; % Inv.: 4.3</t>
  </si>
  <si>
    <t>RV: Conventional Cars</t>
  </si>
  <si>
    <t>MEUR/unit: 20.6; Years: 16; % Inv.: 4.1</t>
  </si>
  <si>
    <t>RV: DME Buses</t>
  </si>
  <si>
    <t>MEUR/unit: 177.2; Years: 6; % Inv.: 9.1</t>
  </si>
  <si>
    <t>RV: Diesel Buses</t>
  </si>
  <si>
    <t>RV: DME Trucks</t>
  </si>
  <si>
    <t>MEUR/unit: 99.2; Years: 6; % Inv.: 21.1</t>
  </si>
  <si>
    <t>RV: Diesel Trucks</t>
  </si>
  <si>
    <t>Water</t>
  </si>
  <si>
    <t>MEUR/unit: 0.08</t>
  </si>
  <si>
    <t>Add: Electric Grid</t>
  </si>
  <si>
    <t>MEUR/unit: 4217; Years: 45; % Inv.: 1</t>
  </si>
  <si>
    <t>Add: Extra costs for 4GDH in buildings</t>
  </si>
  <si>
    <t>MEUR/unit: 1314; Years: 20; % Inv.: 0</t>
  </si>
  <si>
    <t>Add: Interconnections</t>
  </si>
  <si>
    <t>MEUR/unit: 743; Years: 45; % Inv.: 1</t>
  </si>
  <si>
    <t>Add: District cooling</t>
  </si>
  <si>
    <t>MEUR/unit: 207; Years: 25; % Inv.: 2</t>
  </si>
  <si>
    <t>Add: Heat savings existing buildings</t>
  </si>
  <si>
    <t>MEUR/unit: 41300; Years: 40; % Inv.: 0</t>
  </si>
  <si>
    <t>Add: Electrification of industry</t>
  </si>
  <si>
    <t>MEUR/unit: 800; Years: 25; % Inv.: 0</t>
  </si>
  <si>
    <t>Add: Fuel conversion from oil to bio in industry</t>
  </si>
  <si>
    <t>MEUR/unit: 267; Years: 25; % Inv.: 0</t>
  </si>
  <si>
    <t>Add: Electricity savings in households</t>
  </si>
  <si>
    <t>MEUR/unit: 1364; Years: 10; % Inv.: 0</t>
  </si>
  <si>
    <t>Add: Electricity savings in industry</t>
  </si>
  <si>
    <t>MEUR/unit: 3466; Years: 15; % Inv.: 0</t>
  </si>
  <si>
    <t>Add: Fuel savings in industry</t>
  </si>
  <si>
    <t>MEUR/unit: 4000; Years: 20; % Inv.: 0</t>
  </si>
  <si>
    <t>Add: Flexible electricity demand in households</t>
  </si>
  <si>
    <t>MEUR/unit: 222; Years: 10; % Inv.: 1</t>
  </si>
  <si>
    <t>Add: Flexible electricity demand in industry</t>
  </si>
  <si>
    <t>MEUR/unit: 244; Years: 20; % Inv.: 1</t>
  </si>
  <si>
    <t>Add: District Heating Grid Expansion</t>
  </si>
  <si>
    <t>MEUR/unit: 2667; Years: 40; % Inv.: 1.25</t>
  </si>
  <si>
    <t>Add: DH heat exchangers</t>
  </si>
  <si>
    <t>MEUR/unit: 938; Years: 25; % Inv.: 2</t>
  </si>
  <si>
    <t>Add: Vehicles</t>
  </si>
  <si>
    <t>MEUR/unit: 100940; Years: 13; % Inv.: 1.95</t>
  </si>
  <si>
    <t>Add: Charging stations</t>
  </si>
  <si>
    <t>MEUR/unit: 1137; Years: 30; % Inv.: 0</t>
  </si>
  <si>
    <t>Add: Marginal transport infrastructure costs</t>
  </si>
  <si>
    <t>MEUR/unit: 5150; Years: 30; % Inv.: 0</t>
  </si>
  <si>
    <t>Add: Gasnet</t>
  </si>
  <si>
    <t>MEUR/unit: 200; Years: 24; % Inv.: 0</t>
  </si>
  <si>
    <t>Add: Hydrogen net</t>
  </si>
  <si>
    <t>MEUR/unit: 1333; Years: 50; % Inv.: 0.1</t>
  </si>
  <si>
    <t>Add: Windmøller til Nordsøen (300 MW)</t>
  </si>
  <si>
    <t>Cost: Fuel</t>
  </si>
  <si>
    <t>Fuel price:</t>
  </si>
  <si>
    <t>Coal: 3 EUR/GJ; FuelOil: 12.5 EUR/GJ</t>
  </si>
  <si>
    <t>Diesel: 17 EUR/GJ; Petrol: 17 EUR/GJ</t>
  </si>
  <si>
    <t>Ngas: 7.8 EUR/GJ; Biomass: 6.9 EUR/GJ</t>
  </si>
  <si>
    <t>Dry biomass 9 EUR/GJ</t>
  </si>
  <si>
    <t>Fuel handling costs: biomass to biomass:</t>
  </si>
  <si>
    <t>1.19 EUR/GJ</t>
  </si>
  <si>
    <t>Fuel handling costs: biomass to dry biomass:</t>
  </si>
  <si>
    <t>0.91 EUR/GJ</t>
  </si>
  <si>
    <t>Fuel handling costs: biomass to wet biomass:</t>
  </si>
  <si>
    <t>1.49 EUR/GJ</t>
  </si>
  <si>
    <t>Fuel handling costs: central CHP</t>
  </si>
  <si>
    <t>Coal: 0.18; FuelOil: 0.3; Ngas: 0.27</t>
  </si>
  <si>
    <t>Biomass: 3.66</t>
  </si>
  <si>
    <t>Fuel handling costs: dec. CHP</t>
  </si>
  <si>
    <t>FuelOil: 1.18; Ngas: 0.86 biomass: 3.95</t>
  </si>
  <si>
    <t>Fuel handling costs: HH</t>
  </si>
  <si>
    <t>Diesel 3.3; Ngas: 2.19; Biomass: 6.45</t>
  </si>
  <si>
    <t>Fuel handling costs: Transportation</t>
  </si>
  <si>
    <t>Diesel: 3.3; Petrol: 3.76; Ngas: 1.59; air-petrol: 0.3</t>
  </si>
  <si>
    <t>Cost: OM</t>
  </si>
  <si>
    <t>District Heating and CHP: Boiler</t>
  </si>
  <si>
    <t>0.50 EUR/MWh-th</t>
  </si>
  <si>
    <t>District Heating and CHP: CHP</t>
  </si>
  <si>
    <t>3.36 EUR/MWh-e</t>
  </si>
  <si>
    <t>District Heating and CHP: Heat Pump</t>
  </si>
  <si>
    <t>0.43 EUR/MWh-e</t>
  </si>
  <si>
    <t>District Heating and CHP: Electric heating</t>
  </si>
  <si>
    <t>0.50 EUR/MWh-e</t>
  </si>
  <si>
    <t>Power Plants: Hydro Power</t>
  </si>
  <si>
    <t>1.19 EUR/MWh-e</t>
  </si>
  <si>
    <t>Power Plants: Condensing</t>
  </si>
  <si>
    <t>2.92 EUR/MWh-e</t>
  </si>
  <si>
    <t>Power Plants: Geothermal</t>
  </si>
  <si>
    <t>15 EUR/MWh-e</t>
  </si>
  <si>
    <t>Power Plants: GTL M1</t>
  </si>
  <si>
    <t>1.80 EUR/MWh-fuel-input</t>
  </si>
  <si>
    <t>Power Plants: GTL M2</t>
  </si>
  <si>
    <t>1.00 EUR/MWh-fuel-input</t>
  </si>
  <si>
    <t>Storage: Electrolyser</t>
  </si>
  <si>
    <t>0 EUR/MWh-e</t>
  </si>
  <si>
    <t>Storage: Pump</t>
  </si>
  <si>
    <t>Storage: Turbine</t>
  </si>
  <si>
    <t>Storage: V2G Discharge</t>
  </si>
  <si>
    <t>Storage: Hydro Power Pump</t>
  </si>
  <si>
    <t>Storage: Steam Storage</t>
  </si>
  <si>
    <t>Individual: Boiler</t>
  </si>
  <si>
    <t>0 EUR/MWh-th</t>
  </si>
  <si>
    <t>Individual: CHP</t>
  </si>
  <si>
    <t>Individual: Heat Pump</t>
  </si>
  <si>
    <t>Individual: Electric heating</t>
  </si>
  <si>
    <t>Cost: External market</t>
  </si>
  <si>
    <t>Addition factor</t>
  </si>
  <si>
    <t>1 EUR/MWh</t>
  </si>
  <si>
    <t>Multiplication  factor</t>
  </si>
  <si>
    <t>1.3 EUR/MWh</t>
  </si>
  <si>
    <t>Price elasticity</t>
  </si>
  <si>
    <t>0.0027 EUR/mwh/MW</t>
  </si>
  <si>
    <t>Base price</t>
  </si>
  <si>
    <t>20 EUR/MWh</t>
  </si>
  <si>
    <t>Simulation</t>
  </si>
  <si>
    <t>Type</t>
  </si>
  <si>
    <t>Technical simulation</t>
  </si>
  <si>
    <t>Market Economic</t>
  </si>
  <si>
    <t>Strategy</t>
  </si>
  <si>
    <t>(2) Both heat and electricity demands</t>
  </si>
  <si>
    <t>choice (1)</t>
  </si>
  <si>
    <t>Individual heat pump simulation</t>
  </si>
  <si>
    <t>(1) Critical excess production</t>
  </si>
  <si>
    <t>choice (2)</t>
  </si>
  <si>
    <t>V2G regulation</t>
  </si>
  <si>
    <t>(1) Critical excess and PPP</t>
  </si>
  <si>
    <t>Rock bed regulation</t>
  </si>
  <si>
    <t>Prioritization</t>
  </si>
  <si>
    <t>(123) hydro, V2G, Rock bed storage</t>
  </si>
  <si>
    <t>Metric</t>
  </si>
  <si>
    <t>TOTAL ANNUAL COSTS (M EUR)</t>
  </si>
  <si>
    <t>Annual Investment costs (M EUR)</t>
  </si>
  <si>
    <t>Fixed operation costs (M EUR)</t>
  </si>
  <si>
    <t>Variable costs (M EUR)</t>
  </si>
  <si>
    <t>RES share of elec. prod.</t>
  </si>
  <si>
    <t>RES electricity prod. (TWh/year)</t>
  </si>
  <si>
    <t>CO2-emission (Mt)</t>
  </si>
  <si>
    <t>Advarsel</t>
  </si>
  <si>
    <t>Critical Excess Electricity Production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</si>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</sst>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3" fontId="0" fillId="0" borderId="0" xfId="0" applyNumberFormat="1"/>
    <xf numFmtId="0" fontId="0" fillId="4" borderId="0" xfId="0" applyFill="1"/>
    <xf numFmtId="0" fontId="2" fillId="4" borderId="0" xfId="0" applyFont="1" applyFill="1"/>
    <xf numFmtId="0" fontId="3" fillId="4" borderId="3" xfId="0" applyFont="1" applyFill="1" applyBorder="1"/>
    <xf numFmtId="0" fontId="0" fillId="4" borderId="3" xfId="0" applyFill="1" applyBorder="1"/>
    <xf numFmtId="0" fontId="1" fillId="4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85630</xdr:colOff>
      <xdr:row>19</xdr:row>
      <xdr:rowOff>73396</xdr:rowOff>
    </xdr:from>
    <xdr:to>
      <xdr:col>7</xdr:col>
      <xdr:colOff>548767</xdr:colOff>
      <xdr:row>27</xdr:row>
      <xdr:rowOff>104491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C0CC1-FCAE-522A-76E9-A4D8CE34A1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0059" y="3321198"/>
          <a:ext cx="3643660" cy="15479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B3C9-BE38-4295-A173-9A40C6C26074}">
  <dimension ref="A1:Q51"/>
  <sheetViews>
    <sheetView topLeftCell="A11" zoomScale="150" zoomScaleNormal="115" workbookViewId="0">
      <selection activeCell="B21" sqref="B21"/>
    </sheetView>
  </sheetViews>
  <sheetFormatPr defaultColWidth="0" defaultRowHeight="15" zeroHeight="1"/>
  <cols>
    <col min="1" max="1" width="8.85546875" style="7" customWidth="1"/>
    <col min="2" max="2" width="17.85546875" style="7" customWidth="1"/>
    <col min="3" max="14" width="8.85546875" style="7" customWidth="1"/>
    <col min="15" max="15" width="10.28515625" style="7" customWidth="1"/>
    <col min="16" max="17" width="8.85546875" style="7" customWidth="1"/>
    <col min="18" max="16384" width="8.85546875" style="7" hidden="1"/>
  </cols>
  <sheetData>
    <row r="1" spans="2:15"/>
    <row r="2" spans="2:15">
      <c r="B2" s="8" t="s">
        <v>0</v>
      </c>
    </row>
    <row r="3" spans="2:15">
      <c r="B3" s="8"/>
    </row>
    <row r="4" spans="2:15"/>
    <row r="5" spans="2:15" ht="15.6" thickBot="1">
      <c r="B5" s="9" t="s">
        <v>1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</row>
    <row r="6" spans="2:15"/>
    <row r="7" spans="2:15" ht="15.6" thickBot="1">
      <c r="B7" s="11" t="s">
        <v>2</v>
      </c>
      <c r="C7" s="11" t="s">
        <v>3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2:15">
      <c r="B8" s="7" t="s">
        <v>4</v>
      </c>
      <c r="C8" s="7" t="s">
        <v>5</v>
      </c>
    </row>
    <row r="9" spans="2:15">
      <c r="B9" s="7" t="s">
        <v>6</v>
      </c>
      <c r="C9" s="7" t="s">
        <v>7</v>
      </c>
    </row>
    <row r="10" spans="2:15">
      <c r="B10" s="7" t="s">
        <v>8</v>
      </c>
      <c r="C10" s="7" t="s">
        <v>9</v>
      </c>
    </row>
    <row r="11" spans="2:15">
      <c r="B11" s="7" t="s">
        <v>10</v>
      </c>
      <c r="C11" s="7" t="s">
        <v>11</v>
      </c>
    </row>
    <row r="12" spans="2:15">
      <c r="B12" s="7" t="s">
        <v>12</v>
      </c>
      <c r="C12" s="7" t="s">
        <v>13</v>
      </c>
    </row>
    <row r="13" spans="2:15">
      <c r="B13" s="7" t="s">
        <v>14</v>
      </c>
      <c r="C13" s="7" t="s">
        <v>15</v>
      </c>
    </row>
    <row r="14" spans="2:15">
      <c r="B14" s="7" t="s">
        <v>16</v>
      </c>
      <c r="C14" s="7" t="s">
        <v>17</v>
      </c>
    </row>
    <row r="15" spans="2:15">
      <c r="B15" s="7" t="s">
        <v>18</v>
      </c>
      <c r="C15" s="7" t="s">
        <v>17</v>
      </c>
    </row>
    <row r="16" spans="2:15"/>
    <row r="17" spans="2:15">
      <c r="B17" s="8" t="s">
        <v>19</v>
      </c>
    </row>
    <row r="18" spans="2:15">
      <c r="B18" s="8" t="s">
        <v>20</v>
      </c>
    </row>
    <row r="19" spans="2:15">
      <c r="B19" s="8" t="s">
        <v>21</v>
      </c>
    </row>
    <row r="20" spans="2:15"/>
    <row r="21" spans="2:15"/>
    <row r="22" spans="2:15"/>
    <row r="23" spans="2:15"/>
    <row r="24" spans="2:15"/>
    <row r="25" spans="2:15"/>
    <row r="26" spans="2:15"/>
    <row r="27" spans="2:15"/>
    <row r="28" spans="2:15"/>
    <row r="29" spans="2:15"/>
    <row r="30" spans="2:15"/>
    <row r="31" spans="2:15" ht="15.6" thickBot="1">
      <c r="B31" s="11" t="s">
        <v>22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</row>
    <row r="32" spans="2:15">
      <c r="B32" s="7" t="s">
        <v>23</v>
      </c>
      <c r="C32" s="7" t="s">
        <v>24</v>
      </c>
    </row>
    <row r="33" spans="2:15">
      <c r="B33" s="7" t="s">
        <v>25</v>
      </c>
      <c r="C33" s="7" t="s">
        <v>26</v>
      </c>
    </row>
    <row r="34" spans="2:15">
      <c r="B34" s="7" t="s">
        <v>27</v>
      </c>
      <c r="C34" s="7" t="s">
        <v>28</v>
      </c>
    </row>
    <row r="35" spans="2:15">
      <c r="B35" s="7" t="s">
        <v>29</v>
      </c>
      <c r="C35" s="7" t="s">
        <v>30</v>
      </c>
    </row>
    <row r="36" spans="2:15">
      <c r="B36" s="7" t="s">
        <v>31</v>
      </c>
      <c r="C36" s="7" t="s">
        <v>32</v>
      </c>
    </row>
    <row r="37" spans="2:15">
      <c r="B37" s="7" t="s">
        <v>33</v>
      </c>
      <c r="C37" s="7" t="s">
        <v>34</v>
      </c>
    </row>
    <row r="38" spans="2:15"/>
    <row r="39" spans="2:15"/>
    <row r="40" spans="2:15" ht="15.6" thickBot="1">
      <c r="B40" s="11" t="s">
        <v>35</v>
      </c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 spans="2:15">
      <c r="B41" s="7" t="s">
        <v>36</v>
      </c>
    </row>
    <row r="42" spans="2:15">
      <c r="B42" s="7" t="s">
        <v>37</v>
      </c>
    </row>
    <row r="43" spans="2:15">
      <c r="B43" s="7" t="s">
        <v>38</v>
      </c>
    </row>
    <row r="44" spans="2:15">
      <c r="B44" s="8" t="s">
        <v>39</v>
      </c>
    </row>
    <row r="45" spans="2:15"/>
    <row r="46" spans="2:15"/>
    <row r="47" spans="2:15"/>
    <row r="48" spans="2:15"/>
    <row r="49"/>
    <row r="50"/>
    <row r="51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zoomScale="115" zoomScaleNormal="115" workbookViewId="0">
      <selection activeCell="F38" sqref="F38"/>
    </sheetView>
  </sheetViews>
  <sheetFormatPr defaultRowHeight="15"/>
  <cols>
    <col min="1" max="1" width="22.7109375" bestFit="1" customWidth="1"/>
    <col min="2" max="2" width="25.5703125" bestFit="1" customWidth="1"/>
    <col min="3" max="3" width="34.85546875" bestFit="1" customWidth="1"/>
    <col min="4" max="4" width="18.5703125" bestFit="1" customWidth="1"/>
    <col min="5" max="5" width="19.140625" bestFit="1" customWidth="1"/>
    <col min="6" max="6" width="14.42578125" customWidth="1"/>
    <col min="7" max="7" width="14.7109375" bestFit="1" customWidth="1"/>
    <col min="8" max="8" width="13.42578125" customWidth="1"/>
    <col min="9" max="10" width="23.5703125" bestFit="1" customWidth="1"/>
  </cols>
  <sheetData>
    <row r="1" spans="1:10">
      <c r="A1" s="1" t="s">
        <v>40</v>
      </c>
      <c r="B1" s="1" t="s">
        <v>41</v>
      </c>
      <c r="C1" s="1" t="s">
        <v>4</v>
      </c>
      <c r="D1" s="4" t="s">
        <v>6</v>
      </c>
      <c r="E1" s="4" t="s">
        <v>8</v>
      </c>
      <c r="F1" s="4" t="s">
        <v>10</v>
      </c>
      <c r="G1" s="1" t="s">
        <v>12</v>
      </c>
      <c r="H1" s="1" t="s">
        <v>14</v>
      </c>
      <c r="I1" s="1" t="s">
        <v>16</v>
      </c>
      <c r="J1" s="1" t="s">
        <v>18</v>
      </c>
    </row>
    <row r="2" spans="1:10">
      <c r="A2" t="s">
        <v>42</v>
      </c>
      <c r="B2" t="s">
        <v>43</v>
      </c>
      <c r="C2" t="s">
        <v>44</v>
      </c>
      <c r="D2" s="2" t="s">
        <v>45</v>
      </c>
      <c r="E2" s="2" t="s">
        <v>45</v>
      </c>
      <c r="F2" s="2" t="s">
        <v>45</v>
      </c>
      <c r="G2" s="2" t="s">
        <v>45</v>
      </c>
      <c r="H2" s="2" t="s">
        <v>45</v>
      </c>
      <c r="I2" s="3" t="s">
        <v>46</v>
      </c>
      <c r="J2" s="3" t="s">
        <v>46</v>
      </c>
    </row>
    <row r="3" spans="1:10">
      <c r="A3" t="s">
        <v>42</v>
      </c>
      <c r="B3" t="s">
        <v>47</v>
      </c>
      <c r="C3" t="s">
        <v>48</v>
      </c>
      <c r="D3" s="2" t="s">
        <v>45</v>
      </c>
      <c r="E3" s="2" t="s">
        <v>45</v>
      </c>
      <c r="F3" s="2" t="s">
        <v>45</v>
      </c>
      <c r="G3" s="2" t="s">
        <v>45</v>
      </c>
      <c r="H3" s="2" t="s">
        <v>45</v>
      </c>
      <c r="I3" s="2" t="s">
        <v>45</v>
      </c>
      <c r="J3" s="2" t="s">
        <v>45</v>
      </c>
    </row>
    <row r="4" spans="1:10">
      <c r="A4" t="s">
        <v>42</v>
      </c>
      <c r="B4" t="s">
        <v>49</v>
      </c>
      <c r="C4" t="s">
        <v>50</v>
      </c>
      <c r="D4" s="2" t="s">
        <v>45</v>
      </c>
      <c r="E4" s="2" t="s">
        <v>45</v>
      </c>
      <c r="F4" s="2" t="s">
        <v>45</v>
      </c>
      <c r="G4" s="2" t="s">
        <v>45</v>
      </c>
      <c r="H4" s="2" t="s">
        <v>45</v>
      </c>
      <c r="I4" s="2" t="s">
        <v>45</v>
      </c>
      <c r="J4" s="2" t="s">
        <v>45</v>
      </c>
    </row>
    <row r="5" spans="1:10">
      <c r="A5" t="s">
        <v>51</v>
      </c>
      <c r="B5" t="s">
        <v>52</v>
      </c>
      <c r="C5" t="s">
        <v>53</v>
      </c>
      <c r="D5" s="2" t="s">
        <v>45</v>
      </c>
      <c r="E5" s="2" t="s">
        <v>45</v>
      </c>
      <c r="F5" s="2" t="s">
        <v>45</v>
      </c>
      <c r="G5" s="2" t="s">
        <v>45</v>
      </c>
      <c r="H5" s="2" t="s">
        <v>45</v>
      </c>
      <c r="I5" s="2" t="s">
        <v>45</v>
      </c>
      <c r="J5" s="2" t="s">
        <v>45</v>
      </c>
    </row>
    <row r="6" spans="1:10">
      <c r="A6" t="s">
        <v>51</v>
      </c>
      <c r="B6" t="s">
        <v>54</v>
      </c>
      <c r="C6" t="s">
        <v>55</v>
      </c>
      <c r="D6" s="2" t="s">
        <v>45</v>
      </c>
      <c r="E6" s="2" t="s">
        <v>45</v>
      </c>
      <c r="F6" s="2" t="s">
        <v>45</v>
      </c>
      <c r="G6" s="2" t="s">
        <v>45</v>
      </c>
      <c r="H6" s="2" t="s">
        <v>45</v>
      </c>
      <c r="I6" s="2" t="s">
        <v>45</v>
      </c>
      <c r="J6" s="2" t="s">
        <v>45</v>
      </c>
    </row>
    <row r="7" spans="1:10">
      <c r="A7" t="s">
        <v>51</v>
      </c>
      <c r="B7" t="s">
        <v>56</v>
      </c>
      <c r="C7" t="s">
        <v>57</v>
      </c>
      <c r="D7" s="2" t="s">
        <v>45</v>
      </c>
      <c r="E7" s="2" t="s">
        <v>45</v>
      </c>
      <c r="F7" s="2" t="s">
        <v>45</v>
      </c>
      <c r="G7" s="2" t="s">
        <v>45</v>
      </c>
      <c r="H7" s="2" t="s">
        <v>45</v>
      </c>
      <c r="I7" s="2" t="s">
        <v>45</v>
      </c>
      <c r="J7" s="2" t="s">
        <v>45</v>
      </c>
    </row>
    <row r="8" spans="1:10">
      <c r="A8" t="s">
        <v>58</v>
      </c>
      <c r="B8" t="s">
        <v>59</v>
      </c>
      <c r="C8" t="s">
        <v>60</v>
      </c>
      <c r="D8" s="2" t="s">
        <v>45</v>
      </c>
      <c r="E8" s="2" t="s">
        <v>45</v>
      </c>
      <c r="F8" s="2" t="s">
        <v>45</v>
      </c>
      <c r="G8" s="2" t="s">
        <v>45</v>
      </c>
      <c r="H8" s="2" t="s">
        <v>45</v>
      </c>
      <c r="I8" s="2" t="s">
        <v>45</v>
      </c>
      <c r="J8" s="2" t="s">
        <v>45</v>
      </c>
    </row>
    <row r="9" spans="1:10">
      <c r="A9" t="s">
        <v>58</v>
      </c>
      <c r="B9" t="s">
        <v>61</v>
      </c>
      <c r="C9" t="s">
        <v>60</v>
      </c>
      <c r="D9" s="2" t="s">
        <v>45</v>
      </c>
      <c r="E9" s="2" t="s">
        <v>45</v>
      </c>
      <c r="F9" s="2" t="s">
        <v>45</v>
      </c>
      <c r="G9" s="2" t="s">
        <v>45</v>
      </c>
      <c r="H9" s="2" t="s">
        <v>45</v>
      </c>
      <c r="I9" s="2" t="s">
        <v>45</v>
      </c>
      <c r="J9" s="2" t="s">
        <v>45</v>
      </c>
    </row>
    <row r="10" spans="1:10">
      <c r="A10" t="s">
        <v>58</v>
      </c>
      <c r="B10" t="s">
        <v>62</v>
      </c>
      <c r="C10" t="s">
        <v>48</v>
      </c>
      <c r="D10" s="2" t="s">
        <v>45</v>
      </c>
      <c r="E10" s="2" t="s">
        <v>45</v>
      </c>
      <c r="F10" s="2" t="s">
        <v>45</v>
      </c>
      <c r="G10" s="2" t="s">
        <v>45</v>
      </c>
      <c r="H10" s="2" t="s">
        <v>45</v>
      </c>
      <c r="I10" s="2" t="s">
        <v>45</v>
      </c>
      <c r="J10" s="2" t="s">
        <v>45</v>
      </c>
    </row>
    <row r="11" spans="1:10">
      <c r="A11" t="s">
        <v>63</v>
      </c>
      <c r="B11" t="s">
        <v>64</v>
      </c>
      <c r="C11" t="s">
        <v>48</v>
      </c>
      <c r="D11" s="2" t="s">
        <v>45</v>
      </c>
      <c r="E11" s="2" t="s">
        <v>45</v>
      </c>
      <c r="F11" s="2" t="s">
        <v>45</v>
      </c>
      <c r="G11" s="2" t="s">
        <v>45</v>
      </c>
      <c r="H11" s="2" t="s">
        <v>45</v>
      </c>
      <c r="I11" s="2" t="s">
        <v>45</v>
      </c>
      <c r="J11" s="2" t="s">
        <v>45</v>
      </c>
    </row>
    <row r="12" spans="1:10">
      <c r="A12" t="s">
        <v>63</v>
      </c>
      <c r="B12" t="s">
        <v>65</v>
      </c>
      <c r="C12" t="s">
        <v>48</v>
      </c>
      <c r="D12" s="2" t="s">
        <v>45</v>
      </c>
      <c r="E12" s="2" t="s">
        <v>45</v>
      </c>
      <c r="F12" s="2" t="s">
        <v>45</v>
      </c>
      <c r="G12" s="2" t="s">
        <v>45</v>
      </c>
      <c r="H12" s="2" t="s">
        <v>45</v>
      </c>
      <c r="I12" s="2" t="s">
        <v>45</v>
      </c>
      <c r="J12" s="2" t="s">
        <v>45</v>
      </c>
    </row>
    <row r="13" spans="1:10">
      <c r="A13" t="s">
        <v>66</v>
      </c>
      <c r="B13" t="s">
        <v>67</v>
      </c>
      <c r="C13" t="s">
        <v>68</v>
      </c>
      <c r="D13" s="2" t="s">
        <v>45</v>
      </c>
      <c r="E13" s="2" t="s">
        <v>45</v>
      </c>
      <c r="F13" s="2" t="s">
        <v>45</v>
      </c>
      <c r="G13" s="2" t="s">
        <v>45</v>
      </c>
      <c r="H13" s="2" t="s">
        <v>45</v>
      </c>
      <c r="I13" s="2" t="s">
        <v>45</v>
      </c>
      <c r="J13" s="2" t="s">
        <v>45</v>
      </c>
    </row>
    <row r="14" spans="1:10">
      <c r="A14" t="s">
        <v>66</v>
      </c>
      <c r="B14" t="s">
        <v>69</v>
      </c>
      <c r="C14" t="s">
        <v>48</v>
      </c>
      <c r="D14" s="2" t="s">
        <v>45</v>
      </c>
      <c r="E14" s="2" t="s">
        <v>45</v>
      </c>
      <c r="F14" s="2" t="s">
        <v>45</v>
      </c>
      <c r="G14" s="2" t="s">
        <v>45</v>
      </c>
      <c r="H14" s="2" t="s">
        <v>45</v>
      </c>
      <c r="I14" s="2" t="s">
        <v>45</v>
      </c>
      <c r="J14" s="2" t="s">
        <v>45</v>
      </c>
    </row>
    <row r="15" spans="1:10">
      <c r="A15" t="s">
        <v>66</v>
      </c>
      <c r="B15" t="s">
        <v>70</v>
      </c>
      <c r="C15" t="s">
        <v>71</v>
      </c>
      <c r="D15" s="2" t="s">
        <v>45</v>
      </c>
      <c r="E15" s="2" t="s">
        <v>45</v>
      </c>
      <c r="F15" s="2" t="s">
        <v>45</v>
      </c>
      <c r="G15" s="2" t="s">
        <v>45</v>
      </c>
      <c r="H15" s="2" t="s">
        <v>45</v>
      </c>
      <c r="I15" s="2" t="s">
        <v>45</v>
      </c>
      <c r="J15" s="2" t="s">
        <v>45</v>
      </c>
    </row>
    <row r="16" spans="1:10">
      <c r="A16" t="s">
        <v>72</v>
      </c>
      <c r="B16" t="s">
        <v>73</v>
      </c>
      <c r="C16" t="s">
        <v>48</v>
      </c>
      <c r="D16" s="2" t="s">
        <v>45</v>
      </c>
      <c r="E16" s="2" t="s">
        <v>45</v>
      </c>
      <c r="F16" s="2" t="s">
        <v>45</v>
      </c>
      <c r="G16" s="2" t="s">
        <v>45</v>
      </c>
      <c r="H16" s="2" t="s">
        <v>45</v>
      </c>
      <c r="I16" s="2" t="s">
        <v>45</v>
      </c>
      <c r="J16" s="2" t="s">
        <v>45</v>
      </c>
    </row>
    <row r="17" spans="1:10">
      <c r="A17" t="s">
        <v>74</v>
      </c>
      <c r="B17" t="s">
        <v>75</v>
      </c>
      <c r="C17" t="s">
        <v>76</v>
      </c>
      <c r="D17" s="3" t="s">
        <v>77</v>
      </c>
      <c r="E17" s="2" t="s">
        <v>45</v>
      </c>
      <c r="F17" s="2" t="s">
        <v>45</v>
      </c>
      <c r="G17" s="2" t="s">
        <v>45</v>
      </c>
      <c r="H17" s="2" t="s">
        <v>45</v>
      </c>
      <c r="I17" s="3" t="s">
        <v>77</v>
      </c>
      <c r="J17" s="3" t="s">
        <v>77</v>
      </c>
    </row>
    <row r="18" spans="1:10">
      <c r="A18" t="s">
        <v>78</v>
      </c>
      <c r="B18" t="s">
        <v>79</v>
      </c>
      <c r="C18" t="s">
        <v>48</v>
      </c>
      <c r="D18" s="3" t="s">
        <v>80</v>
      </c>
      <c r="E18" s="2" t="s">
        <v>45</v>
      </c>
      <c r="F18" s="3" t="s">
        <v>81</v>
      </c>
      <c r="G18" s="2" t="s">
        <v>45</v>
      </c>
      <c r="H18" s="2" t="s">
        <v>45</v>
      </c>
      <c r="I18" s="2" t="s">
        <v>45</v>
      </c>
      <c r="J18" s="2" t="s">
        <v>45</v>
      </c>
    </row>
    <row r="19" spans="1:10">
      <c r="A19" t="s">
        <v>78</v>
      </c>
      <c r="B19" t="s">
        <v>82</v>
      </c>
      <c r="C19" t="s">
        <v>81</v>
      </c>
      <c r="D19" s="2" t="s">
        <v>45</v>
      </c>
      <c r="E19" s="2" t="s">
        <v>45</v>
      </c>
      <c r="F19" s="2" t="s">
        <v>45</v>
      </c>
      <c r="G19" s="2" t="s">
        <v>45</v>
      </c>
      <c r="H19" s="2" t="s">
        <v>45</v>
      </c>
      <c r="I19" s="2" t="s">
        <v>45</v>
      </c>
      <c r="J19" s="2" t="s">
        <v>45</v>
      </c>
    </row>
    <row r="20" spans="1:10">
      <c r="A20" t="s">
        <v>78</v>
      </c>
      <c r="B20" t="s">
        <v>83</v>
      </c>
      <c r="C20" t="s">
        <v>81</v>
      </c>
      <c r="D20" s="2" t="s">
        <v>45</v>
      </c>
      <c r="E20" s="2" t="s">
        <v>45</v>
      </c>
      <c r="F20" s="2" t="s">
        <v>45</v>
      </c>
      <c r="G20" s="2" t="s">
        <v>45</v>
      </c>
      <c r="H20" s="2" t="s">
        <v>45</v>
      </c>
      <c r="I20" s="2" t="s">
        <v>45</v>
      </c>
      <c r="J20" s="2" t="s">
        <v>45</v>
      </c>
    </row>
    <row r="21" spans="1:10">
      <c r="A21" t="s">
        <v>78</v>
      </c>
      <c r="B21" t="s">
        <v>84</v>
      </c>
      <c r="C21" t="s">
        <v>85</v>
      </c>
      <c r="D21" s="2" t="s">
        <v>45</v>
      </c>
      <c r="E21" s="2" t="s">
        <v>45</v>
      </c>
      <c r="F21" s="2" t="s">
        <v>45</v>
      </c>
      <c r="G21" s="2" t="s">
        <v>45</v>
      </c>
      <c r="H21" s="2" t="s">
        <v>45</v>
      </c>
      <c r="I21" s="2" t="s">
        <v>45</v>
      </c>
      <c r="J21" s="2" t="s">
        <v>45</v>
      </c>
    </row>
    <row r="22" spans="1:10">
      <c r="A22" t="s">
        <v>86</v>
      </c>
      <c r="B22" t="s">
        <v>87</v>
      </c>
      <c r="C22" t="s">
        <v>88</v>
      </c>
      <c r="D22" s="2" t="s">
        <v>45</v>
      </c>
      <c r="E22" s="2" t="s">
        <v>45</v>
      </c>
      <c r="F22" s="2" t="s">
        <v>45</v>
      </c>
      <c r="G22" s="2" t="s">
        <v>45</v>
      </c>
      <c r="H22" s="2" t="s">
        <v>45</v>
      </c>
      <c r="I22" s="3" t="s">
        <v>89</v>
      </c>
      <c r="J22" s="3" t="s">
        <v>89</v>
      </c>
    </row>
    <row r="23" spans="1:10">
      <c r="A23" t="s">
        <v>86</v>
      </c>
      <c r="B23" t="s">
        <v>90</v>
      </c>
      <c r="C23" t="s">
        <v>91</v>
      </c>
      <c r="D23" s="2" t="s">
        <v>45</v>
      </c>
      <c r="E23" s="2" t="s">
        <v>45</v>
      </c>
      <c r="F23" s="2" t="s">
        <v>45</v>
      </c>
      <c r="G23" s="2" t="s">
        <v>45</v>
      </c>
      <c r="H23" s="2" t="s">
        <v>45</v>
      </c>
      <c r="I23" s="3" t="s">
        <v>89</v>
      </c>
      <c r="J23" s="3" t="s">
        <v>89</v>
      </c>
    </row>
    <row r="24" spans="1:10">
      <c r="A24" t="s">
        <v>86</v>
      </c>
      <c r="B24" t="s">
        <v>92</v>
      </c>
      <c r="C24" t="s">
        <v>93</v>
      </c>
      <c r="D24" s="2" t="s">
        <v>45</v>
      </c>
      <c r="E24" s="2" t="s">
        <v>45</v>
      </c>
      <c r="F24" s="2" t="s">
        <v>45</v>
      </c>
      <c r="G24" s="2" t="s">
        <v>45</v>
      </c>
      <c r="H24" s="2" t="s">
        <v>45</v>
      </c>
      <c r="I24" s="3" t="s">
        <v>89</v>
      </c>
      <c r="J24" s="3" t="s">
        <v>89</v>
      </c>
    </row>
    <row r="25" spans="1:10">
      <c r="A25" t="s">
        <v>86</v>
      </c>
      <c r="B25" t="s">
        <v>94</v>
      </c>
      <c r="C25" t="s">
        <v>95</v>
      </c>
      <c r="D25" s="2" t="s">
        <v>45</v>
      </c>
      <c r="E25" s="2" t="s">
        <v>45</v>
      </c>
      <c r="F25" s="2" t="s">
        <v>45</v>
      </c>
      <c r="G25" s="2" t="s">
        <v>45</v>
      </c>
      <c r="H25" s="2" t="s">
        <v>45</v>
      </c>
      <c r="I25" s="2" t="s">
        <v>45</v>
      </c>
      <c r="J25" s="2" t="s">
        <v>45</v>
      </c>
    </row>
    <row r="26" spans="1:10">
      <c r="A26" t="s">
        <v>86</v>
      </c>
      <c r="B26" t="s">
        <v>96</v>
      </c>
      <c r="C26" t="s">
        <v>97</v>
      </c>
      <c r="D26" s="2" t="s">
        <v>45</v>
      </c>
      <c r="E26" s="2" t="s">
        <v>45</v>
      </c>
      <c r="F26" s="2" t="s">
        <v>45</v>
      </c>
      <c r="G26" s="2" t="s">
        <v>45</v>
      </c>
      <c r="H26" s="2" t="s">
        <v>45</v>
      </c>
      <c r="I26" s="2" t="s">
        <v>45</v>
      </c>
      <c r="J26" s="2" t="s">
        <v>45</v>
      </c>
    </row>
    <row r="27" spans="1:10">
      <c r="A27" t="s">
        <v>86</v>
      </c>
      <c r="B27" t="s">
        <v>98</v>
      </c>
      <c r="C27" t="s">
        <v>99</v>
      </c>
      <c r="D27" s="2" t="s">
        <v>45</v>
      </c>
      <c r="E27" s="2" t="s">
        <v>45</v>
      </c>
      <c r="F27" s="2" t="s">
        <v>45</v>
      </c>
      <c r="G27" s="2" t="s">
        <v>45</v>
      </c>
      <c r="H27" s="2" t="s">
        <v>45</v>
      </c>
      <c r="I27" s="2" t="s">
        <v>45</v>
      </c>
      <c r="J27" s="2" t="s">
        <v>45</v>
      </c>
    </row>
    <row r="28" spans="1:10">
      <c r="A28" t="s">
        <v>86</v>
      </c>
      <c r="B28" t="s">
        <v>100</v>
      </c>
      <c r="C28" t="s">
        <v>95</v>
      </c>
      <c r="D28" s="2" t="s">
        <v>45</v>
      </c>
      <c r="E28" s="2" t="s">
        <v>45</v>
      </c>
      <c r="F28" s="2" t="s">
        <v>45</v>
      </c>
      <c r="G28" s="2" t="s">
        <v>45</v>
      </c>
      <c r="H28" s="2" t="s">
        <v>45</v>
      </c>
      <c r="I28" s="2" t="s">
        <v>45</v>
      </c>
      <c r="J28" s="2" t="s">
        <v>45</v>
      </c>
    </row>
    <row r="29" spans="1:10">
      <c r="A29" t="s">
        <v>86</v>
      </c>
      <c r="B29" t="s">
        <v>101</v>
      </c>
      <c r="C29" t="s">
        <v>102</v>
      </c>
      <c r="D29" s="2" t="s">
        <v>45</v>
      </c>
      <c r="E29" s="2" t="s">
        <v>45</v>
      </c>
      <c r="F29" s="2" t="s">
        <v>45</v>
      </c>
      <c r="G29" s="2" t="s">
        <v>45</v>
      </c>
      <c r="H29" s="2" t="s">
        <v>45</v>
      </c>
      <c r="I29" s="2" t="s">
        <v>45</v>
      </c>
      <c r="J29" s="2" t="s">
        <v>45</v>
      </c>
    </row>
    <row r="30" spans="1:10">
      <c r="A30" t="s">
        <v>103</v>
      </c>
      <c r="B30" t="s">
        <v>104</v>
      </c>
      <c r="C30" t="s">
        <v>105</v>
      </c>
      <c r="D30" s="2" t="s">
        <v>45</v>
      </c>
      <c r="E30" s="2" t="s">
        <v>45</v>
      </c>
      <c r="F30" s="2" t="s">
        <v>45</v>
      </c>
      <c r="G30" s="2" t="s">
        <v>45</v>
      </c>
      <c r="H30" s="2" t="s">
        <v>45</v>
      </c>
      <c r="I30" s="2" t="s">
        <v>45</v>
      </c>
      <c r="J30" s="2" t="s">
        <v>45</v>
      </c>
    </row>
    <row r="31" spans="1:10">
      <c r="A31" t="s">
        <v>106</v>
      </c>
      <c r="B31" t="s">
        <v>107</v>
      </c>
      <c r="C31" t="s">
        <v>48</v>
      </c>
      <c r="D31" s="2" t="s">
        <v>45</v>
      </c>
      <c r="E31" s="2" t="s">
        <v>45</v>
      </c>
      <c r="F31" s="2" t="s">
        <v>45</v>
      </c>
      <c r="G31" s="2" t="s">
        <v>45</v>
      </c>
      <c r="H31" s="2" t="s">
        <v>45</v>
      </c>
      <c r="I31" s="2" t="s">
        <v>45</v>
      </c>
      <c r="J31" s="2" t="s">
        <v>45</v>
      </c>
    </row>
    <row r="32" spans="1:10">
      <c r="A32" t="s">
        <v>108</v>
      </c>
      <c r="B32" t="s">
        <v>109</v>
      </c>
      <c r="C32" t="s">
        <v>48</v>
      </c>
      <c r="D32" s="2" t="s">
        <v>45</v>
      </c>
      <c r="E32" s="2" t="s">
        <v>45</v>
      </c>
      <c r="F32" s="2" t="s">
        <v>45</v>
      </c>
      <c r="G32" s="2" t="s">
        <v>45</v>
      </c>
      <c r="H32" s="2" t="s">
        <v>45</v>
      </c>
      <c r="I32" s="2" t="s">
        <v>45</v>
      </c>
      <c r="J32" s="2" t="s">
        <v>45</v>
      </c>
    </row>
    <row r="33" spans="1:10">
      <c r="A33" t="s">
        <v>108</v>
      </c>
      <c r="B33" t="s">
        <v>110</v>
      </c>
      <c r="C33" t="s">
        <v>48</v>
      </c>
      <c r="D33" s="2" t="s">
        <v>45</v>
      </c>
      <c r="E33" s="2" t="s">
        <v>45</v>
      </c>
      <c r="F33" s="2" t="s">
        <v>45</v>
      </c>
      <c r="G33" s="2" t="s">
        <v>45</v>
      </c>
      <c r="H33" s="2" t="s">
        <v>45</v>
      </c>
      <c r="I33" s="2" t="s">
        <v>45</v>
      </c>
      <c r="J33" s="2" t="s">
        <v>45</v>
      </c>
    </row>
    <row r="34" spans="1:10">
      <c r="A34" t="s">
        <v>108</v>
      </c>
      <c r="B34" t="s">
        <v>111</v>
      </c>
      <c r="C34" t="s">
        <v>48</v>
      </c>
      <c r="D34" s="2" t="s">
        <v>45</v>
      </c>
      <c r="E34" s="2" t="s">
        <v>45</v>
      </c>
      <c r="F34" s="2" t="s">
        <v>45</v>
      </c>
      <c r="G34" s="2" t="s">
        <v>45</v>
      </c>
      <c r="H34" s="2" t="s">
        <v>45</v>
      </c>
      <c r="I34" s="2" t="s">
        <v>45</v>
      </c>
      <c r="J34" s="2" t="s">
        <v>45</v>
      </c>
    </row>
    <row r="35" spans="1:10">
      <c r="A35" t="s">
        <v>112</v>
      </c>
      <c r="B35" t="s">
        <v>113</v>
      </c>
      <c r="C35" t="s">
        <v>114</v>
      </c>
      <c r="D35" s="2" t="s">
        <v>45</v>
      </c>
      <c r="E35" s="2" t="s">
        <v>45</v>
      </c>
      <c r="F35" s="2" t="s">
        <v>45</v>
      </c>
      <c r="G35" s="2" t="s">
        <v>45</v>
      </c>
      <c r="H35" s="2" t="s">
        <v>45</v>
      </c>
      <c r="I35" s="3" t="s">
        <v>46</v>
      </c>
      <c r="J35" s="3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2"/>
  <sheetViews>
    <sheetView zoomScaleNormal="100" workbookViewId="0">
      <selection activeCell="F42" sqref="F42"/>
    </sheetView>
  </sheetViews>
  <sheetFormatPr defaultRowHeight="15"/>
  <cols>
    <col min="1" max="1" width="14.85546875" bestFit="1" customWidth="1"/>
    <col min="2" max="2" width="26.28515625" bestFit="1" customWidth="1"/>
    <col min="3" max="3" width="41.28515625" bestFit="1" customWidth="1"/>
    <col min="4" max="4" width="16.28515625" customWidth="1"/>
    <col min="5" max="5" width="11.7109375" bestFit="1" customWidth="1"/>
    <col min="6" max="6" width="14.7109375" customWidth="1"/>
    <col min="7" max="7" width="14.7109375" bestFit="1" customWidth="1"/>
    <col min="8" max="8" width="12.28515625" bestFit="1" customWidth="1"/>
    <col min="9" max="10" width="19" bestFit="1" customWidth="1"/>
  </cols>
  <sheetData>
    <row r="1" spans="1:11">
      <c r="A1" s="1" t="s">
        <v>40</v>
      </c>
      <c r="B1" s="1" t="s">
        <v>115</v>
      </c>
      <c r="C1" s="1" t="s">
        <v>4</v>
      </c>
      <c r="D1" s="4" t="s">
        <v>6</v>
      </c>
      <c r="E1" s="4" t="s">
        <v>8</v>
      </c>
      <c r="F1" s="4" t="s">
        <v>10</v>
      </c>
      <c r="G1" s="1" t="s">
        <v>12</v>
      </c>
      <c r="H1" s="1" t="s">
        <v>14</v>
      </c>
      <c r="I1" s="1" t="s">
        <v>16</v>
      </c>
      <c r="J1" s="1" t="s">
        <v>18</v>
      </c>
    </row>
    <row r="2" spans="1:11">
      <c r="A2" t="s">
        <v>42</v>
      </c>
      <c r="B2" t="s">
        <v>43</v>
      </c>
      <c r="C2" t="s">
        <v>116</v>
      </c>
      <c r="D2" s="2" t="s">
        <v>45</v>
      </c>
      <c r="E2" s="2" t="s">
        <v>45</v>
      </c>
      <c r="F2" s="2" t="s">
        <v>45</v>
      </c>
      <c r="G2" s="2" t="s">
        <v>45</v>
      </c>
      <c r="H2" s="2" t="s">
        <v>45</v>
      </c>
      <c r="I2" s="3">
        <v>31.1</v>
      </c>
      <c r="J2" s="3">
        <v>31.1</v>
      </c>
      <c r="K2" t="s">
        <v>117</v>
      </c>
    </row>
    <row r="3" spans="1:11">
      <c r="A3" t="s">
        <v>42</v>
      </c>
      <c r="B3" t="s">
        <v>47</v>
      </c>
      <c r="C3" t="s">
        <v>118</v>
      </c>
      <c r="D3" s="2" t="s">
        <v>45</v>
      </c>
      <c r="E3" s="2" t="s">
        <v>45</v>
      </c>
      <c r="F3" s="2" t="s">
        <v>45</v>
      </c>
      <c r="G3" s="2" t="s">
        <v>45</v>
      </c>
      <c r="H3" s="2" t="s">
        <v>45</v>
      </c>
      <c r="I3" s="3">
        <v>15.6</v>
      </c>
      <c r="J3" s="3">
        <v>15.6</v>
      </c>
      <c r="K3" t="s">
        <v>119</v>
      </c>
    </row>
    <row r="4" spans="1:11">
      <c r="A4" t="s">
        <v>42</v>
      </c>
      <c r="B4" t="s">
        <v>120</v>
      </c>
      <c r="C4" t="s">
        <v>121</v>
      </c>
      <c r="D4" s="2" t="s">
        <v>45</v>
      </c>
      <c r="E4" s="2" t="s">
        <v>45</v>
      </c>
      <c r="F4" s="2" t="s">
        <v>45</v>
      </c>
      <c r="G4" s="2" t="s">
        <v>45</v>
      </c>
      <c r="H4" s="2" t="s">
        <v>45</v>
      </c>
      <c r="I4" s="2" t="s">
        <v>45</v>
      </c>
      <c r="J4" s="2" t="s">
        <v>45</v>
      </c>
    </row>
    <row r="5" spans="1:11">
      <c r="A5" t="s">
        <v>42</v>
      </c>
      <c r="B5" t="s">
        <v>122</v>
      </c>
      <c r="C5" t="s">
        <v>123</v>
      </c>
      <c r="D5" s="2" t="s">
        <v>45</v>
      </c>
      <c r="E5" s="2" t="s">
        <v>45</v>
      </c>
      <c r="F5" s="2" t="s">
        <v>45</v>
      </c>
      <c r="G5" s="2" t="s">
        <v>45</v>
      </c>
      <c r="H5" s="2" t="s">
        <v>45</v>
      </c>
      <c r="I5" s="2" t="s">
        <v>45</v>
      </c>
      <c r="J5" s="2" t="s">
        <v>45</v>
      </c>
    </row>
    <row r="6" spans="1:11">
      <c r="A6" t="s">
        <v>42</v>
      </c>
      <c r="B6" t="s">
        <v>124</v>
      </c>
      <c r="C6" t="s">
        <v>125</v>
      </c>
      <c r="D6" s="2" t="s">
        <v>45</v>
      </c>
      <c r="E6" s="2" t="s">
        <v>45</v>
      </c>
      <c r="F6" s="2" t="s">
        <v>45</v>
      </c>
      <c r="G6" s="2" t="s">
        <v>45</v>
      </c>
      <c r="H6" s="2" t="s">
        <v>45</v>
      </c>
      <c r="I6" s="2" t="s">
        <v>45</v>
      </c>
      <c r="J6" s="2" t="s">
        <v>45</v>
      </c>
    </row>
    <row r="7" spans="1:11">
      <c r="A7" t="s">
        <v>51</v>
      </c>
      <c r="B7" t="s">
        <v>126</v>
      </c>
      <c r="C7" t="s">
        <v>127</v>
      </c>
      <c r="D7" s="2" t="s">
        <v>45</v>
      </c>
      <c r="E7" s="2" t="s">
        <v>45</v>
      </c>
      <c r="F7" s="2" t="s">
        <v>45</v>
      </c>
      <c r="G7" s="2" t="s">
        <v>45</v>
      </c>
      <c r="H7" s="2" t="s">
        <v>45</v>
      </c>
      <c r="I7" s="2" t="s">
        <v>45</v>
      </c>
      <c r="J7" s="2" t="s">
        <v>45</v>
      </c>
    </row>
    <row r="8" spans="1:11">
      <c r="A8" t="s">
        <v>51</v>
      </c>
      <c r="B8" t="s">
        <v>128</v>
      </c>
      <c r="C8" t="s">
        <v>129</v>
      </c>
      <c r="D8" s="2" t="s">
        <v>45</v>
      </c>
      <c r="E8" s="2" t="s">
        <v>45</v>
      </c>
      <c r="F8" s="2" t="s">
        <v>45</v>
      </c>
      <c r="G8" s="2" t="s">
        <v>45</v>
      </c>
      <c r="H8" s="2" t="s">
        <v>45</v>
      </c>
      <c r="I8" s="2" t="s">
        <v>45</v>
      </c>
      <c r="J8" s="2" t="s">
        <v>45</v>
      </c>
    </row>
    <row r="9" spans="1:11">
      <c r="A9" t="s">
        <v>51</v>
      </c>
      <c r="B9" t="s">
        <v>130</v>
      </c>
      <c r="C9" t="s">
        <v>131</v>
      </c>
      <c r="D9" s="2" t="s">
        <v>45</v>
      </c>
      <c r="E9" s="2" t="s">
        <v>45</v>
      </c>
      <c r="F9" s="2" t="s">
        <v>45</v>
      </c>
      <c r="G9" s="2" t="s">
        <v>45</v>
      </c>
      <c r="H9" s="2" t="s">
        <v>45</v>
      </c>
      <c r="I9" s="2" t="s">
        <v>45</v>
      </c>
      <c r="J9" s="2" t="s">
        <v>45</v>
      </c>
    </row>
    <row r="10" spans="1:11">
      <c r="A10" t="s">
        <v>51</v>
      </c>
      <c r="B10" t="s">
        <v>132</v>
      </c>
      <c r="C10" t="s">
        <v>133</v>
      </c>
      <c r="D10" s="2" t="s">
        <v>45</v>
      </c>
      <c r="E10" s="2" t="s">
        <v>45</v>
      </c>
      <c r="F10" s="2" t="s">
        <v>45</v>
      </c>
      <c r="G10" s="2" t="s">
        <v>45</v>
      </c>
      <c r="H10" s="2" t="s">
        <v>45</v>
      </c>
      <c r="I10" s="2" t="s">
        <v>45</v>
      </c>
      <c r="J10" s="2" t="s">
        <v>45</v>
      </c>
    </row>
    <row r="11" spans="1:11">
      <c r="A11" t="s">
        <v>51</v>
      </c>
      <c r="B11" t="s">
        <v>134</v>
      </c>
      <c r="C11" t="s">
        <v>135</v>
      </c>
      <c r="D11" s="2" t="s">
        <v>45</v>
      </c>
      <c r="E11" s="2" t="s">
        <v>45</v>
      </c>
      <c r="F11" s="2" t="s">
        <v>45</v>
      </c>
      <c r="G11" s="2" t="s">
        <v>45</v>
      </c>
      <c r="H11" s="2" t="s">
        <v>45</v>
      </c>
      <c r="I11" s="2" t="s">
        <v>45</v>
      </c>
      <c r="J11" s="2" t="s">
        <v>45</v>
      </c>
    </row>
    <row r="12" spans="1:11">
      <c r="A12" t="s">
        <v>51</v>
      </c>
      <c r="B12" t="s">
        <v>136</v>
      </c>
      <c r="C12" t="s">
        <v>135</v>
      </c>
      <c r="D12" s="2" t="s">
        <v>45</v>
      </c>
      <c r="E12" s="2" t="s">
        <v>45</v>
      </c>
      <c r="F12" s="2" t="s">
        <v>45</v>
      </c>
      <c r="G12" s="2" t="s">
        <v>45</v>
      </c>
      <c r="H12" s="2" t="s">
        <v>45</v>
      </c>
      <c r="I12" s="2" t="s">
        <v>45</v>
      </c>
      <c r="J12" s="2" t="s">
        <v>45</v>
      </c>
    </row>
    <row r="13" spans="1:11">
      <c r="A13" t="s">
        <v>51</v>
      </c>
      <c r="B13" t="s">
        <v>137</v>
      </c>
      <c r="C13" t="s">
        <v>135</v>
      </c>
      <c r="D13" s="2" t="s">
        <v>45</v>
      </c>
      <c r="E13" s="2" t="s">
        <v>45</v>
      </c>
      <c r="F13" s="2" t="s">
        <v>45</v>
      </c>
      <c r="G13" s="2" t="s">
        <v>45</v>
      </c>
      <c r="H13" s="2" t="s">
        <v>45</v>
      </c>
      <c r="I13" s="2" t="s">
        <v>45</v>
      </c>
      <c r="J13" s="2" t="s">
        <v>45</v>
      </c>
    </row>
    <row r="14" spans="1:11">
      <c r="A14" t="s">
        <v>51</v>
      </c>
      <c r="B14" t="s">
        <v>138</v>
      </c>
      <c r="C14" t="s">
        <v>139</v>
      </c>
      <c r="D14" s="2" t="s">
        <v>45</v>
      </c>
      <c r="E14" s="2" t="s">
        <v>45</v>
      </c>
      <c r="F14" s="2" t="s">
        <v>45</v>
      </c>
      <c r="G14" s="2" t="s">
        <v>45</v>
      </c>
      <c r="H14" s="2" t="s">
        <v>45</v>
      </c>
      <c r="I14" s="2" t="s">
        <v>45</v>
      </c>
      <c r="J14" s="2" t="s">
        <v>45</v>
      </c>
    </row>
    <row r="15" spans="1:11">
      <c r="A15" t="s">
        <v>51</v>
      </c>
      <c r="B15" t="s">
        <v>140</v>
      </c>
      <c r="C15" t="s">
        <v>141</v>
      </c>
      <c r="D15" s="2" t="s">
        <v>45</v>
      </c>
      <c r="E15" s="2" t="s">
        <v>45</v>
      </c>
      <c r="F15" s="2" t="s">
        <v>45</v>
      </c>
      <c r="G15" s="2" t="s">
        <v>45</v>
      </c>
      <c r="H15" s="2" t="s">
        <v>45</v>
      </c>
      <c r="I15" s="2" t="s">
        <v>45</v>
      </c>
      <c r="J15" s="2" t="s">
        <v>45</v>
      </c>
    </row>
    <row r="16" spans="1:11">
      <c r="A16" t="s">
        <v>51</v>
      </c>
      <c r="B16" t="s">
        <v>62</v>
      </c>
      <c r="C16" t="s">
        <v>142</v>
      </c>
      <c r="D16" s="2" t="s">
        <v>45</v>
      </c>
      <c r="E16" s="2" t="s">
        <v>45</v>
      </c>
      <c r="F16" s="2" t="s">
        <v>45</v>
      </c>
      <c r="G16" s="2" t="s">
        <v>45</v>
      </c>
      <c r="H16" s="2" t="s">
        <v>45</v>
      </c>
      <c r="I16" s="2" t="s">
        <v>45</v>
      </c>
      <c r="J16" s="2" t="s">
        <v>45</v>
      </c>
    </row>
    <row r="17" spans="1:10">
      <c r="A17" t="s">
        <v>58</v>
      </c>
      <c r="B17" t="s">
        <v>143</v>
      </c>
      <c r="C17" t="s">
        <v>144</v>
      </c>
      <c r="D17" s="2" t="s">
        <v>45</v>
      </c>
      <c r="E17" s="2" t="s">
        <v>45</v>
      </c>
      <c r="F17" s="2" t="s">
        <v>45</v>
      </c>
      <c r="G17" s="2" t="s">
        <v>45</v>
      </c>
      <c r="H17" s="2" t="s">
        <v>45</v>
      </c>
      <c r="I17" s="2" t="s">
        <v>45</v>
      </c>
      <c r="J17" s="2" t="s">
        <v>45</v>
      </c>
    </row>
    <row r="18" spans="1:10">
      <c r="A18" t="s">
        <v>58</v>
      </c>
      <c r="B18" t="s">
        <v>145</v>
      </c>
      <c r="C18" t="s">
        <v>146</v>
      </c>
      <c r="D18" s="2" t="s">
        <v>45</v>
      </c>
      <c r="E18" s="2" t="s">
        <v>45</v>
      </c>
      <c r="F18" s="2" t="s">
        <v>45</v>
      </c>
      <c r="G18" s="2" t="s">
        <v>45</v>
      </c>
      <c r="H18" s="2" t="s">
        <v>45</v>
      </c>
      <c r="I18" s="2" t="s">
        <v>45</v>
      </c>
      <c r="J18" s="2" t="s">
        <v>45</v>
      </c>
    </row>
    <row r="19" spans="1:10">
      <c r="A19" t="s">
        <v>58</v>
      </c>
      <c r="B19" t="s">
        <v>147</v>
      </c>
      <c r="C19" t="s">
        <v>146</v>
      </c>
      <c r="D19" s="2" t="s">
        <v>45</v>
      </c>
      <c r="E19" s="2" t="s">
        <v>45</v>
      </c>
      <c r="F19" s="2" t="s">
        <v>45</v>
      </c>
      <c r="G19" s="2" t="s">
        <v>45</v>
      </c>
      <c r="H19" s="2" t="s">
        <v>45</v>
      </c>
      <c r="I19" s="2" t="s">
        <v>45</v>
      </c>
      <c r="J19" s="2" t="s">
        <v>45</v>
      </c>
    </row>
    <row r="20" spans="1:10">
      <c r="A20" t="s">
        <v>58</v>
      </c>
      <c r="B20" t="s">
        <v>148</v>
      </c>
      <c r="C20" t="s">
        <v>146</v>
      </c>
      <c r="D20" s="2" t="s">
        <v>45</v>
      </c>
      <c r="E20" s="2" t="s">
        <v>45</v>
      </c>
      <c r="F20" s="2" t="s">
        <v>45</v>
      </c>
      <c r="G20" s="2" t="s">
        <v>45</v>
      </c>
      <c r="H20" s="2" t="s">
        <v>45</v>
      </c>
      <c r="I20" s="2" t="s">
        <v>45</v>
      </c>
      <c r="J20" s="2" t="s">
        <v>45</v>
      </c>
    </row>
    <row r="21" spans="1:10">
      <c r="A21" t="s">
        <v>58</v>
      </c>
      <c r="B21" t="s">
        <v>149</v>
      </c>
      <c r="C21" t="s">
        <v>150</v>
      </c>
      <c r="D21" s="2" t="s">
        <v>45</v>
      </c>
      <c r="E21" s="2" t="s">
        <v>45</v>
      </c>
      <c r="F21" s="2" t="s">
        <v>45</v>
      </c>
      <c r="G21" s="2" t="s">
        <v>45</v>
      </c>
      <c r="H21" s="2" t="s">
        <v>45</v>
      </c>
      <c r="I21" s="2" t="s">
        <v>45</v>
      </c>
      <c r="J21" s="2" t="s">
        <v>45</v>
      </c>
    </row>
    <row r="22" spans="1:10">
      <c r="A22" t="s">
        <v>63</v>
      </c>
      <c r="B22" t="s">
        <v>151</v>
      </c>
      <c r="C22" t="s">
        <v>152</v>
      </c>
      <c r="D22" s="2" t="s">
        <v>45</v>
      </c>
      <c r="E22" s="2" t="s">
        <v>45</v>
      </c>
      <c r="F22" s="2" t="s">
        <v>45</v>
      </c>
      <c r="G22" s="2" t="s">
        <v>45</v>
      </c>
      <c r="H22" s="2" t="s">
        <v>45</v>
      </c>
      <c r="I22" s="2" t="s">
        <v>45</v>
      </c>
      <c r="J22" s="2" t="s">
        <v>45</v>
      </c>
    </row>
    <row r="23" spans="1:10">
      <c r="A23" t="s">
        <v>63</v>
      </c>
      <c r="B23" t="s">
        <v>153</v>
      </c>
      <c r="C23" t="s">
        <v>152</v>
      </c>
      <c r="D23" s="2" t="s">
        <v>45</v>
      </c>
      <c r="E23" s="2" t="s">
        <v>45</v>
      </c>
      <c r="F23" s="2" t="s">
        <v>45</v>
      </c>
      <c r="G23" s="2" t="s">
        <v>45</v>
      </c>
      <c r="H23" s="2" t="s">
        <v>45</v>
      </c>
      <c r="I23" s="2" t="s">
        <v>45</v>
      </c>
      <c r="J23" s="2" t="s">
        <v>45</v>
      </c>
    </row>
    <row r="24" spans="1:10">
      <c r="A24" t="s">
        <v>66</v>
      </c>
      <c r="B24" t="s">
        <v>154</v>
      </c>
      <c r="C24" t="s">
        <v>155</v>
      </c>
      <c r="D24" s="2" t="s">
        <v>45</v>
      </c>
      <c r="E24" s="2" t="s">
        <v>45</v>
      </c>
      <c r="F24" s="2" t="s">
        <v>45</v>
      </c>
      <c r="G24" s="2" t="s">
        <v>45</v>
      </c>
      <c r="H24" s="2" t="s">
        <v>45</v>
      </c>
      <c r="I24" s="2" t="s">
        <v>45</v>
      </c>
      <c r="J24" s="2" t="s">
        <v>45</v>
      </c>
    </row>
    <row r="25" spans="1:10">
      <c r="A25" t="s">
        <v>66</v>
      </c>
      <c r="B25" t="s">
        <v>156</v>
      </c>
      <c r="C25" t="s">
        <v>157</v>
      </c>
      <c r="D25" s="2" t="s">
        <v>45</v>
      </c>
      <c r="E25" s="2" t="s">
        <v>45</v>
      </c>
      <c r="F25" s="2" t="s">
        <v>45</v>
      </c>
      <c r="G25" s="2" t="s">
        <v>45</v>
      </c>
      <c r="H25" s="2" t="s">
        <v>45</v>
      </c>
      <c r="I25" s="2" t="s">
        <v>45</v>
      </c>
      <c r="J25" s="2" t="s">
        <v>45</v>
      </c>
    </row>
    <row r="26" spans="1:10">
      <c r="A26" t="s">
        <v>66</v>
      </c>
      <c r="B26" t="s">
        <v>158</v>
      </c>
      <c r="C26" t="s">
        <v>159</v>
      </c>
      <c r="D26" s="2" t="s">
        <v>45</v>
      </c>
      <c r="E26" s="2" t="s">
        <v>45</v>
      </c>
      <c r="F26" s="2" t="s">
        <v>45</v>
      </c>
      <c r="G26" s="2" t="s">
        <v>45</v>
      </c>
      <c r="H26" s="2" t="s">
        <v>45</v>
      </c>
      <c r="I26" s="2" t="s">
        <v>45</v>
      </c>
      <c r="J26" s="2" t="s">
        <v>45</v>
      </c>
    </row>
    <row r="27" spans="1:10">
      <c r="A27" t="s">
        <v>66</v>
      </c>
      <c r="B27" t="s">
        <v>134</v>
      </c>
      <c r="C27" t="s">
        <v>160</v>
      </c>
      <c r="D27" s="2" t="s">
        <v>45</v>
      </c>
      <c r="E27" s="2" t="s">
        <v>45</v>
      </c>
      <c r="F27" s="2" t="s">
        <v>45</v>
      </c>
      <c r="G27" s="2" t="s">
        <v>45</v>
      </c>
      <c r="H27" s="2" t="s">
        <v>45</v>
      </c>
      <c r="I27" s="2" t="s">
        <v>45</v>
      </c>
      <c r="J27" s="2" t="s">
        <v>45</v>
      </c>
    </row>
    <row r="28" spans="1:10">
      <c r="A28" t="s">
        <v>66</v>
      </c>
      <c r="B28" t="s">
        <v>161</v>
      </c>
      <c r="C28" t="s">
        <v>162</v>
      </c>
      <c r="D28" s="2" t="s">
        <v>45</v>
      </c>
      <c r="E28" s="2" t="s">
        <v>45</v>
      </c>
      <c r="F28" s="2" t="s">
        <v>45</v>
      </c>
      <c r="G28" s="2" t="s">
        <v>45</v>
      </c>
      <c r="H28" s="2" t="s">
        <v>45</v>
      </c>
      <c r="I28" s="2" t="s">
        <v>45</v>
      </c>
      <c r="J28" s="2" t="s">
        <v>45</v>
      </c>
    </row>
    <row r="29" spans="1:10">
      <c r="A29" t="s">
        <v>66</v>
      </c>
      <c r="B29" t="s">
        <v>163</v>
      </c>
      <c r="C29" t="s">
        <v>164</v>
      </c>
      <c r="D29" s="2" t="s">
        <v>45</v>
      </c>
      <c r="E29" s="2" t="s">
        <v>45</v>
      </c>
      <c r="F29" s="2" t="s">
        <v>45</v>
      </c>
      <c r="G29" s="2" t="s">
        <v>45</v>
      </c>
      <c r="H29" s="2" t="s">
        <v>45</v>
      </c>
      <c r="I29" s="2" t="s">
        <v>45</v>
      </c>
      <c r="J29" s="2" t="s">
        <v>45</v>
      </c>
    </row>
    <row r="30" spans="1:10">
      <c r="A30" t="s">
        <v>66</v>
      </c>
      <c r="B30" t="s">
        <v>165</v>
      </c>
      <c r="C30" t="s">
        <v>166</v>
      </c>
      <c r="D30" s="2" t="s">
        <v>45</v>
      </c>
      <c r="E30" s="2" t="s">
        <v>45</v>
      </c>
      <c r="F30" s="2" t="s">
        <v>45</v>
      </c>
      <c r="G30" s="2" t="s">
        <v>45</v>
      </c>
      <c r="H30" s="2" t="s">
        <v>45</v>
      </c>
      <c r="I30" s="2" t="s">
        <v>45</v>
      </c>
      <c r="J30" s="2" t="s">
        <v>45</v>
      </c>
    </row>
    <row r="31" spans="1:10">
      <c r="A31" t="s">
        <v>66</v>
      </c>
      <c r="B31" t="s">
        <v>167</v>
      </c>
      <c r="C31" t="s">
        <v>168</v>
      </c>
      <c r="D31" s="2" t="s">
        <v>45</v>
      </c>
      <c r="E31" s="2" t="s">
        <v>45</v>
      </c>
      <c r="F31" s="3" t="s">
        <v>169</v>
      </c>
      <c r="G31" s="2" t="s">
        <v>45</v>
      </c>
      <c r="H31" s="2" t="s">
        <v>45</v>
      </c>
      <c r="I31" s="2" t="s">
        <v>45</v>
      </c>
      <c r="J31" s="2" t="s">
        <v>45</v>
      </c>
    </row>
    <row r="32" spans="1:10">
      <c r="A32" t="s">
        <v>66</v>
      </c>
      <c r="B32" t="s">
        <v>170</v>
      </c>
      <c r="C32" t="s">
        <v>171</v>
      </c>
      <c r="D32" s="2" t="s">
        <v>45</v>
      </c>
      <c r="E32" s="2" t="s">
        <v>45</v>
      </c>
      <c r="F32" s="2" t="s">
        <v>45</v>
      </c>
      <c r="G32" s="2" t="s">
        <v>45</v>
      </c>
      <c r="H32" s="2" t="s">
        <v>45</v>
      </c>
      <c r="I32" s="2" t="s">
        <v>45</v>
      </c>
      <c r="J32" s="2" t="s">
        <v>45</v>
      </c>
    </row>
    <row r="33" spans="1:10">
      <c r="A33" t="s">
        <v>66</v>
      </c>
      <c r="B33" t="s">
        <v>172</v>
      </c>
      <c r="C33" t="s">
        <v>173</v>
      </c>
      <c r="D33" s="2" t="s">
        <v>45</v>
      </c>
      <c r="E33" s="2" t="s">
        <v>45</v>
      </c>
      <c r="F33" s="2" t="s">
        <v>45</v>
      </c>
      <c r="G33" s="2" t="s">
        <v>45</v>
      </c>
      <c r="H33" s="2" t="s">
        <v>45</v>
      </c>
      <c r="I33" s="2" t="s">
        <v>45</v>
      </c>
      <c r="J33" s="2" t="s">
        <v>45</v>
      </c>
    </row>
    <row r="34" spans="1:10">
      <c r="A34" t="s">
        <v>66</v>
      </c>
      <c r="B34" t="s">
        <v>174</v>
      </c>
      <c r="C34" t="s">
        <v>168</v>
      </c>
      <c r="D34" s="2" t="s">
        <v>45</v>
      </c>
      <c r="E34" s="2" t="s">
        <v>45</v>
      </c>
      <c r="F34" s="2" t="s">
        <v>45</v>
      </c>
      <c r="G34" s="2" t="s">
        <v>45</v>
      </c>
      <c r="H34" s="2" t="s">
        <v>45</v>
      </c>
      <c r="I34" s="2" t="s">
        <v>45</v>
      </c>
      <c r="J34" s="2" t="s">
        <v>45</v>
      </c>
    </row>
    <row r="35" spans="1:10">
      <c r="A35" t="s">
        <v>66</v>
      </c>
      <c r="B35" t="s">
        <v>175</v>
      </c>
      <c r="C35" t="s">
        <v>176</v>
      </c>
      <c r="D35" s="2" t="s">
        <v>45</v>
      </c>
      <c r="E35" s="2" t="s">
        <v>45</v>
      </c>
      <c r="F35" s="2" t="s">
        <v>45</v>
      </c>
      <c r="G35" s="2" t="s">
        <v>45</v>
      </c>
      <c r="H35" s="2" t="s">
        <v>45</v>
      </c>
      <c r="I35" s="2" t="s">
        <v>45</v>
      </c>
      <c r="J35" s="2" t="s">
        <v>45</v>
      </c>
    </row>
    <row r="36" spans="1:10">
      <c r="A36" t="s">
        <v>72</v>
      </c>
      <c r="B36" t="s">
        <v>177</v>
      </c>
      <c r="C36" t="s">
        <v>178</v>
      </c>
      <c r="D36" s="2" t="s">
        <v>45</v>
      </c>
      <c r="E36" s="2" t="s">
        <v>45</v>
      </c>
      <c r="F36" s="2" t="s">
        <v>45</v>
      </c>
      <c r="G36" s="2" t="s">
        <v>45</v>
      </c>
      <c r="H36" s="2" t="s">
        <v>45</v>
      </c>
      <c r="I36" s="2" t="s">
        <v>45</v>
      </c>
      <c r="J36" s="2" t="s">
        <v>45</v>
      </c>
    </row>
    <row r="37" spans="1:10">
      <c r="A37" t="s">
        <v>72</v>
      </c>
      <c r="B37" t="s">
        <v>179</v>
      </c>
      <c r="C37" t="s">
        <v>180</v>
      </c>
      <c r="D37" s="2" t="s">
        <v>45</v>
      </c>
      <c r="E37" s="2" t="s">
        <v>45</v>
      </c>
      <c r="F37" s="2" t="s">
        <v>45</v>
      </c>
      <c r="G37" s="2" t="s">
        <v>45</v>
      </c>
      <c r="H37" s="2" t="s">
        <v>45</v>
      </c>
      <c r="I37" s="2" t="s">
        <v>45</v>
      </c>
      <c r="J37" s="2" t="s">
        <v>45</v>
      </c>
    </row>
    <row r="38" spans="1:10">
      <c r="A38" t="s">
        <v>72</v>
      </c>
      <c r="B38" t="s">
        <v>181</v>
      </c>
      <c r="C38" t="s">
        <v>182</v>
      </c>
      <c r="D38" s="2" t="s">
        <v>45</v>
      </c>
      <c r="E38" s="2" t="s">
        <v>45</v>
      </c>
      <c r="F38" s="2" t="s">
        <v>45</v>
      </c>
      <c r="G38" s="2" t="s">
        <v>45</v>
      </c>
      <c r="H38" s="2" t="s">
        <v>45</v>
      </c>
      <c r="I38" s="2" t="s">
        <v>45</v>
      </c>
      <c r="J38" s="2" t="s">
        <v>45</v>
      </c>
    </row>
    <row r="39" spans="1:10">
      <c r="A39" t="s">
        <v>72</v>
      </c>
      <c r="B39" t="s">
        <v>183</v>
      </c>
      <c r="C39" t="s">
        <v>184</v>
      </c>
      <c r="D39" s="2" t="s">
        <v>45</v>
      </c>
      <c r="E39" s="2" t="s">
        <v>45</v>
      </c>
      <c r="F39" s="2" t="s">
        <v>45</v>
      </c>
      <c r="G39" s="2" t="s">
        <v>45</v>
      </c>
      <c r="H39" s="2" t="s">
        <v>45</v>
      </c>
      <c r="I39" s="2" t="s">
        <v>45</v>
      </c>
      <c r="J39" s="2" t="s">
        <v>45</v>
      </c>
    </row>
    <row r="40" spans="1:10">
      <c r="A40" t="s">
        <v>72</v>
      </c>
      <c r="B40" t="s">
        <v>185</v>
      </c>
      <c r="C40" t="s">
        <v>186</v>
      </c>
      <c r="D40" s="2" t="s">
        <v>45</v>
      </c>
      <c r="E40" s="2" t="s">
        <v>45</v>
      </c>
      <c r="F40" s="2" t="s">
        <v>45</v>
      </c>
      <c r="G40" s="2" t="s">
        <v>45</v>
      </c>
      <c r="H40" s="2" t="s">
        <v>45</v>
      </c>
      <c r="I40" s="2" t="s">
        <v>45</v>
      </c>
      <c r="J40" s="2" t="s">
        <v>45</v>
      </c>
    </row>
    <row r="41" spans="1:10">
      <c r="A41" t="s">
        <v>72</v>
      </c>
      <c r="B41" t="s">
        <v>187</v>
      </c>
      <c r="C41" t="s">
        <v>188</v>
      </c>
      <c r="D41" s="2" t="s">
        <v>45</v>
      </c>
      <c r="E41" s="2" t="s">
        <v>45</v>
      </c>
      <c r="F41" s="2" t="s">
        <v>45</v>
      </c>
      <c r="G41" s="2" t="s">
        <v>45</v>
      </c>
      <c r="H41" s="2" t="s">
        <v>45</v>
      </c>
      <c r="I41" s="2" t="s">
        <v>45</v>
      </c>
      <c r="J41" s="2" t="s">
        <v>45</v>
      </c>
    </row>
    <row r="42" spans="1:10">
      <c r="A42" t="s">
        <v>72</v>
      </c>
      <c r="B42" t="s">
        <v>189</v>
      </c>
      <c r="C42" t="s">
        <v>190</v>
      </c>
      <c r="D42" s="2" t="s">
        <v>45</v>
      </c>
      <c r="E42" s="2" t="s">
        <v>45</v>
      </c>
      <c r="F42" s="2" t="s">
        <v>45</v>
      </c>
      <c r="G42" s="2" t="s">
        <v>45</v>
      </c>
      <c r="H42" s="2" t="s">
        <v>45</v>
      </c>
      <c r="I42" s="2" t="s">
        <v>45</v>
      </c>
      <c r="J42" s="2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1"/>
  <sheetViews>
    <sheetView tabSelected="1" topLeftCell="B45" zoomScale="115" zoomScaleNormal="115" workbookViewId="0">
      <selection activeCell="F50" sqref="F50"/>
    </sheetView>
  </sheetViews>
  <sheetFormatPr defaultRowHeight="15"/>
  <cols>
    <col min="1" max="1" width="22.28515625" bestFit="1" customWidth="1"/>
    <col min="2" max="2" width="26.7109375" bestFit="1" customWidth="1"/>
    <col min="3" max="3" width="44.28515625" bestFit="1" customWidth="1"/>
    <col min="4" max="4" width="10.7109375" customWidth="1"/>
    <col min="5" max="5" width="11.7109375" bestFit="1" customWidth="1"/>
    <col min="6" max="6" width="15.28515625" bestFit="1" customWidth="1"/>
    <col min="7" max="7" width="20.7109375" bestFit="1" customWidth="1"/>
    <col min="8" max="8" width="15.28515625" bestFit="1" customWidth="1"/>
    <col min="9" max="9" width="16.5703125" customWidth="1"/>
    <col min="10" max="10" width="18.140625" bestFit="1" customWidth="1"/>
    <col min="11" max="12" width="20" bestFit="1" customWidth="1"/>
  </cols>
  <sheetData>
    <row r="1" spans="1:12" ht="16.350000000000001" customHeight="1">
      <c r="A1" s="1" t="s">
        <v>40</v>
      </c>
      <c r="B1" s="1" t="s">
        <v>115</v>
      </c>
      <c r="C1" s="1" t="s">
        <v>4</v>
      </c>
      <c r="D1" s="4" t="s">
        <v>6</v>
      </c>
      <c r="E1" s="4" t="s">
        <v>8</v>
      </c>
      <c r="F1" s="4" t="s">
        <v>10</v>
      </c>
      <c r="G1" s="1" t="s">
        <v>12</v>
      </c>
      <c r="H1" s="1" t="s">
        <v>14</v>
      </c>
      <c r="I1" s="1" t="s">
        <v>16</v>
      </c>
      <c r="J1" s="1" t="s">
        <v>18</v>
      </c>
    </row>
    <row r="2" spans="1:12">
      <c r="A2" t="s">
        <v>74</v>
      </c>
      <c r="B2" t="s">
        <v>191</v>
      </c>
      <c r="C2" t="s">
        <v>192</v>
      </c>
      <c r="D2" s="2" t="s">
        <v>45</v>
      </c>
      <c r="E2" s="2" t="s">
        <v>45</v>
      </c>
      <c r="F2" s="2" t="s">
        <v>45</v>
      </c>
      <c r="G2" s="2" t="s">
        <v>45</v>
      </c>
      <c r="H2" s="2" t="s">
        <v>45</v>
      </c>
      <c r="I2" s="2" t="s">
        <v>45</v>
      </c>
      <c r="J2" s="2" t="s">
        <v>45</v>
      </c>
    </row>
    <row r="3" spans="1:12">
      <c r="A3" t="s">
        <v>74</v>
      </c>
      <c r="B3" t="s">
        <v>193</v>
      </c>
      <c r="C3" t="s">
        <v>194</v>
      </c>
      <c r="D3" s="2" t="s">
        <v>45</v>
      </c>
      <c r="E3" s="2" t="s">
        <v>45</v>
      </c>
      <c r="F3" s="2" t="s">
        <v>45</v>
      </c>
      <c r="G3" s="2" t="s">
        <v>45</v>
      </c>
      <c r="H3" s="2" t="s">
        <v>45</v>
      </c>
      <c r="I3" s="2" t="s">
        <v>45</v>
      </c>
      <c r="J3" s="2" t="s">
        <v>45</v>
      </c>
    </row>
    <row r="4" spans="1:12">
      <c r="A4" t="s">
        <v>74</v>
      </c>
      <c r="B4" t="s">
        <v>195</v>
      </c>
      <c r="C4" t="s">
        <v>196</v>
      </c>
      <c r="D4" s="2" t="s">
        <v>45</v>
      </c>
      <c r="E4" s="2" t="s">
        <v>45</v>
      </c>
      <c r="F4" s="2" t="s">
        <v>45</v>
      </c>
      <c r="G4" s="2" t="s">
        <v>45</v>
      </c>
      <c r="H4" s="2" t="s">
        <v>45</v>
      </c>
      <c r="I4" s="2" t="s">
        <v>45</v>
      </c>
      <c r="J4" s="2" t="s">
        <v>45</v>
      </c>
    </row>
    <row r="5" spans="1:12">
      <c r="A5" t="s">
        <v>74</v>
      </c>
      <c r="B5" t="s">
        <v>197</v>
      </c>
      <c r="C5" t="s">
        <v>198</v>
      </c>
      <c r="D5" s="2" t="s">
        <v>45</v>
      </c>
      <c r="E5" s="2" t="s">
        <v>45</v>
      </c>
      <c r="F5" s="2" t="s">
        <v>45</v>
      </c>
      <c r="G5" s="2" t="s">
        <v>45</v>
      </c>
      <c r="H5" s="2" t="s">
        <v>45</v>
      </c>
      <c r="I5" s="2" t="s">
        <v>45</v>
      </c>
      <c r="J5" s="2" t="s">
        <v>45</v>
      </c>
    </row>
    <row r="6" spans="1:12">
      <c r="A6" t="s">
        <v>74</v>
      </c>
      <c r="B6" t="s">
        <v>199</v>
      </c>
      <c r="C6" t="s">
        <v>200</v>
      </c>
      <c r="D6" s="2" t="s">
        <v>45</v>
      </c>
      <c r="E6" s="2" t="s">
        <v>45</v>
      </c>
      <c r="F6" s="2" t="s">
        <v>45</v>
      </c>
      <c r="G6" s="2" t="s">
        <v>45</v>
      </c>
      <c r="H6" s="2" t="s">
        <v>45</v>
      </c>
      <c r="I6" s="2" t="s">
        <v>45</v>
      </c>
      <c r="J6" s="2" t="s">
        <v>45</v>
      </c>
    </row>
    <row r="7" spans="1:12">
      <c r="A7" t="s">
        <v>74</v>
      </c>
      <c r="B7" t="s">
        <v>201</v>
      </c>
      <c r="C7" t="s">
        <v>202</v>
      </c>
      <c r="D7" s="2" t="s">
        <v>45</v>
      </c>
      <c r="E7" s="2" t="s">
        <v>45</v>
      </c>
      <c r="F7" s="2" t="s">
        <v>45</v>
      </c>
      <c r="G7" s="2" t="s">
        <v>45</v>
      </c>
      <c r="H7" s="2" t="s">
        <v>45</v>
      </c>
      <c r="I7" s="2" t="s">
        <v>45</v>
      </c>
      <c r="J7" s="2" t="s">
        <v>45</v>
      </c>
    </row>
    <row r="8" spans="1:12">
      <c r="A8" t="s">
        <v>74</v>
      </c>
      <c r="B8" t="s">
        <v>203</v>
      </c>
      <c r="C8" t="s">
        <v>204</v>
      </c>
      <c r="D8" s="2" t="s">
        <v>45</v>
      </c>
      <c r="E8" s="2" t="s">
        <v>45</v>
      </c>
      <c r="F8" s="2" t="s">
        <v>45</v>
      </c>
      <c r="G8" s="2" t="s">
        <v>45</v>
      </c>
      <c r="H8" s="2" t="s">
        <v>45</v>
      </c>
      <c r="I8" s="2" t="s">
        <v>45</v>
      </c>
      <c r="J8" s="2" t="s">
        <v>45</v>
      </c>
    </row>
    <row r="9" spans="1:12">
      <c r="A9" t="s">
        <v>74</v>
      </c>
      <c r="B9" t="s">
        <v>205</v>
      </c>
      <c r="C9" t="s">
        <v>206</v>
      </c>
      <c r="D9" s="2" t="s">
        <v>45</v>
      </c>
      <c r="E9" s="2" t="s">
        <v>45</v>
      </c>
      <c r="F9" s="2" t="s">
        <v>45</v>
      </c>
      <c r="G9" s="2" t="s">
        <v>45</v>
      </c>
      <c r="H9" s="2" t="s">
        <v>45</v>
      </c>
      <c r="I9" s="2" t="s">
        <v>45</v>
      </c>
      <c r="J9" s="2" t="s">
        <v>45</v>
      </c>
    </row>
    <row r="10" spans="1:12">
      <c r="A10" t="s">
        <v>74</v>
      </c>
      <c r="B10" t="s">
        <v>207</v>
      </c>
      <c r="C10" t="s">
        <v>208</v>
      </c>
      <c r="D10" s="2" t="s">
        <v>45</v>
      </c>
      <c r="E10" s="2" t="s">
        <v>45</v>
      </c>
      <c r="F10" s="2" t="s">
        <v>45</v>
      </c>
      <c r="G10" s="2" t="s">
        <v>45</v>
      </c>
      <c r="H10" s="2" t="s">
        <v>45</v>
      </c>
      <c r="I10" s="2" t="s">
        <v>45</v>
      </c>
      <c r="J10" s="2" t="s">
        <v>45</v>
      </c>
    </row>
    <row r="11" spans="1:12">
      <c r="A11" t="s">
        <v>78</v>
      </c>
      <c r="B11" t="s">
        <v>209</v>
      </c>
      <c r="C11" t="s">
        <v>210</v>
      </c>
      <c r="D11" s="2" t="s">
        <v>45</v>
      </c>
      <c r="E11" s="2" t="s">
        <v>45</v>
      </c>
      <c r="F11" s="2" t="s">
        <v>45</v>
      </c>
      <c r="G11" s="2" t="s">
        <v>45</v>
      </c>
      <c r="H11" s="2" t="s">
        <v>45</v>
      </c>
      <c r="I11" s="2" t="s">
        <v>45</v>
      </c>
      <c r="J11" s="2" t="s">
        <v>45</v>
      </c>
    </row>
    <row r="12" spans="1:12">
      <c r="A12" t="s">
        <v>78</v>
      </c>
      <c r="B12" t="s">
        <v>211</v>
      </c>
      <c r="C12" t="s">
        <v>212</v>
      </c>
      <c r="D12" s="2" t="s">
        <v>45</v>
      </c>
      <c r="E12" s="2" t="s">
        <v>45</v>
      </c>
      <c r="F12" s="3" t="s">
        <v>213</v>
      </c>
      <c r="G12" s="2" t="s">
        <v>45</v>
      </c>
      <c r="H12" s="3" t="s">
        <v>214</v>
      </c>
      <c r="I12" s="3" t="s">
        <v>213</v>
      </c>
      <c r="J12" s="2" t="s">
        <v>45</v>
      </c>
    </row>
    <row r="13" spans="1:12">
      <c r="A13" t="s">
        <v>78</v>
      </c>
      <c r="B13" t="s">
        <v>215</v>
      </c>
      <c r="C13" t="s">
        <v>166</v>
      </c>
      <c r="D13" s="2" t="s">
        <v>45</v>
      </c>
      <c r="E13" s="2" t="s">
        <v>45</v>
      </c>
      <c r="F13" s="3">
        <v>1</v>
      </c>
      <c r="G13" s="2" t="s">
        <v>45</v>
      </c>
      <c r="H13" s="2" t="s">
        <v>45</v>
      </c>
      <c r="I13" s="2" t="s">
        <v>45</v>
      </c>
      <c r="J13" s="2" t="s">
        <v>45</v>
      </c>
    </row>
    <row r="14" spans="1:12">
      <c r="A14" t="s">
        <v>78</v>
      </c>
      <c r="B14" t="s">
        <v>216</v>
      </c>
      <c r="C14" t="s">
        <v>217</v>
      </c>
      <c r="D14" s="2" t="s">
        <v>45</v>
      </c>
      <c r="E14" s="2" t="s">
        <v>45</v>
      </c>
      <c r="F14" s="2" t="s">
        <v>45</v>
      </c>
      <c r="G14" s="2" t="s">
        <v>45</v>
      </c>
      <c r="H14" s="2" t="s">
        <v>45</v>
      </c>
      <c r="I14" s="3" t="s">
        <v>218</v>
      </c>
      <c r="J14" s="3" t="s">
        <v>218</v>
      </c>
      <c r="K14" t="s">
        <v>219</v>
      </c>
      <c r="L14" t="s">
        <v>220</v>
      </c>
    </row>
    <row r="15" spans="1:12">
      <c r="A15" t="s">
        <v>86</v>
      </c>
      <c r="B15" t="s">
        <v>221</v>
      </c>
      <c r="C15" t="s">
        <v>222</v>
      </c>
      <c r="D15" s="2" t="s">
        <v>45</v>
      </c>
      <c r="E15" s="3" t="s">
        <v>223</v>
      </c>
      <c r="F15" s="2" t="s">
        <v>45</v>
      </c>
      <c r="G15" s="2" t="s">
        <v>45</v>
      </c>
      <c r="H15" s="2" t="s">
        <v>45</v>
      </c>
      <c r="I15" s="3">
        <v>5150</v>
      </c>
      <c r="J15" s="3">
        <v>5150</v>
      </c>
      <c r="K15" t="s">
        <v>224</v>
      </c>
    </row>
    <row r="16" spans="1:12">
      <c r="A16" t="s">
        <v>86</v>
      </c>
      <c r="B16" t="s">
        <v>90</v>
      </c>
      <c r="C16" t="s">
        <v>225</v>
      </c>
      <c r="D16" s="2" t="s">
        <v>45</v>
      </c>
      <c r="E16" s="3" t="s">
        <v>226</v>
      </c>
      <c r="F16" s="3">
        <v>14000</v>
      </c>
      <c r="G16" s="2" t="s">
        <v>45</v>
      </c>
      <c r="H16" s="3" t="s">
        <v>227</v>
      </c>
      <c r="I16" s="3">
        <f>3487+4800</f>
        <v>8287</v>
      </c>
      <c r="J16" s="3">
        <f>3487+2800</f>
        <v>6287</v>
      </c>
      <c r="K16" t="s">
        <v>228</v>
      </c>
      <c r="L16" t="s">
        <v>229</v>
      </c>
    </row>
    <row r="17" spans="1:12">
      <c r="A17" t="s">
        <v>86</v>
      </c>
      <c r="B17" t="s">
        <v>230</v>
      </c>
      <c r="C17" t="s">
        <v>231</v>
      </c>
      <c r="D17" s="2" t="s">
        <v>45</v>
      </c>
      <c r="E17" s="2" t="s">
        <v>45</v>
      </c>
      <c r="F17" s="2" t="s">
        <v>45</v>
      </c>
      <c r="G17" s="2" t="s">
        <v>45</v>
      </c>
      <c r="H17" s="2" t="s">
        <v>45</v>
      </c>
      <c r="I17" s="3">
        <v>25134</v>
      </c>
      <c r="J17" s="3">
        <v>25134</v>
      </c>
      <c r="K17" t="s">
        <v>224</v>
      </c>
      <c r="L17" t="s">
        <v>224</v>
      </c>
    </row>
    <row r="18" spans="1:12">
      <c r="A18" t="s">
        <v>86</v>
      </c>
      <c r="B18" t="s">
        <v>221</v>
      </c>
      <c r="C18" t="s">
        <v>232</v>
      </c>
      <c r="D18" s="2" t="s">
        <v>45</v>
      </c>
      <c r="E18" s="2" t="s">
        <v>45</v>
      </c>
      <c r="F18" s="2" t="s">
        <v>45</v>
      </c>
      <c r="G18" s="2" t="s">
        <v>45</v>
      </c>
      <c r="H18" s="2" t="s">
        <v>45</v>
      </c>
      <c r="I18" s="2" t="s">
        <v>45</v>
      </c>
      <c r="J18" s="2" t="s">
        <v>45</v>
      </c>
    </row>
    <row r="19" spans="1:12">
      <c r="A19" t="s">
        <v>86</v>
      </c>
      <c r="B19" t="s">
        <v>233</v>
      </c>
      <c r="C19" t="s">
        <v>234</v>
      </c>
      <c r="D19" s="2" t="s">
        <v>45</v>
      </c>
      <c r="E19" s="2" t="s">
        <v>45</v>
      </c>
      <c r="F19" s="2" t="s">
        <v>45</v>
      </c>
      <c r="G19" s="2" t="s">
        <v>45</v>
      </c>
      <c r="H19" s="2" t="s">
        <v>45</v>
      </c>
      <c r="I19" s="2" t="s">
        <v>45</v>
      </c>
      <c r="J19" s="2" t="s">
        <v>45</v>
      </c>
    </row>
    <row r="20" spans="1:12">
      <c r="A20" t="s">
        <v>103</v>
      </c>
      <c r="B20" t="s">
        <v>235</v>
      </c>
      <c r="C20" t="s">
        <v>236</v>
      </c>
      <c r="D20" s="2" t="s">
        <v>45</v>
      </c>
      <c r="E20" s="2" t="s">
        <v>45</v>
      </c>
      <c r="F20" s="2" t="s">
        <v>45</v>
      </c>
      <c r="G20" s="2" t="s">
        <v>45</v>
      </c>
      <c r="H20" s="2" t="s">
        <v>45</v>
      </c>
      <c r="I20" s="2" t="s">
        <v>45</v>
      </c>
      <c r="J20" s="2" t="s">
        <v>45</v>
      </c>
    </row>
    <row r="21" spans="1:12">
      <c r="A21" t="s">
        <v>103</v>
      </c>
      <c r="B21" t="s">
        <v>237</v>
      </c>
      <c r="C21" t="s">
        <v>238</v>
      </c>
      <c r="D21" s="2" t="s">
        <v>45</v>
      </c>
      <c r="E21" s="2" t="s">
        <v>45</v>
      </c>
      <c r="F21" s="2" t="s">
        <v>45</v>
      </c>
      <c r="G21" s="2" t="s">
        <v>45</v>
      </c>
      <c r="H21" s="2" t="s">
        <v>45</v>
      </c>
      <c r="I21" s="2" t="s">
        <v>45</v>
      </c>
      <c r="J21" s="2" t="s">
        <v>45</v>
      </c>
    </row>
    <row r="22" spans="1:12">
      <c r="A22" t="s">
        <v>103</v>
      </c>
      <c r="B22" t="s">
        <v>239</v>
      </c>
      <c r="C22" t="s">
        <v>240</v>
      </c>
      <c r="D22" s="2" t="s">
        <v>45</v>
      </c>
      <c r="E22" s="2" t="s">
        <v>45</v>
      </c>
      <c r="F22" s="2" t="s">
        <v>45</v>
      </c>
      <c r="G22" s="2" t="s">
        <v>45</v>
      </c>
      <c r="H22" s="2" t="s">
        <v>45</v>
      </c>
      <c r="I22" s="2" t="s">
        <v>45</v>
      </c>
      <c r="J22" s="2" t="s">
        <v>45</v>
      </c>
    </row>
    <row r="23" spans="1:12">
      <c r="A23" t="s">
        <v>103</v>
      </c>
      <c r="B23" t="s">
        <v>241</v>
      </c>
      <c r="C23" t="s">
        <v>242</v>
      </c>
      <c r="D23" s="2" t="s">
        <v>45</v>
      </c>
      <c r="E23" s="2" t="s">
        <v>45</v>
      </c>
      <c r="F23" s="2" t="s">
        <v>45</v>
      </c>
      <c r="G23" s="2" t="s">
        <v>45</v>
      </c>
      <c r="H23" s="2" t="s">
        <v>45</v>
      </c>
      <c r="I23" s="2" t="s">
        <v>45</v>
      </c>
      <c r="J23" s="2" t="s">
        <v>45</v>
      </c>
    </row>
    <row r="24" spans="1:12">
      <c r="A24" t="s">
        <v>103</v>
      </c>
      <c r="B24" t="s">
        <v>243</v>
      </c>
      <c r="C24" t="s">
        <v>244</v>
      </c>
      <c r="D24" s="2" t="s">
        <v>45</v>
      </c>
      <c r="E24" s="2" t="s">
        <v>45</v>
      </c>
      <c r="F24" s="2" t="s">
        <v>45</v>
      </c>
      <c r="G24" s="2" t="s">
        <v>45</v>
      </c>
      <c r="H24" s="2" t="s">
        <v>45</v>
      </c>
      <c r="I24" s="2" t="s">
        <v>45</v>
      </c>
      <c r="J24" s="2" t="s">
        <v>45</v>
      </c>
    </row>
    <row r="25" spans="1:12">
      <c r="A25" t="s">
        <v>103</v>
      </c>
      <c r="B25" t="s">
        <v>245</v>
      </c>
      <c r="C25" t="s">
        <v>246</v>
      </c>
      <c r="D25" s="2" t="s">
        <v>45</v>
      </c>
      <c r="E25" s="2" t="s">
        <v>45</v>
      </c>
      <c r="F25" s="2" t="s">
        <v>45</v>
      </c>
      <c r="G25" s="2" t="s">
        <v>45</v>
      </c>
      <c r="H25" s="2" t="s">
        <v>45</v>
      </c>
      <c r="I25" s="2" t="s">
        <v>45</v>
      </c>
      <c r="J25" s="2" t="s">
        <v>45</v>
      </c>
    </row>
    <row r="26" spans="1:12">
      <c r="A26" t="s">
        <v>103</v>
      </c>
      <c r="B26" t="s">
        <v>247</v>
      </c>
      <c r="C26" t="s">
        <v>248</v>
      </c>
      <c r="D26" s="2" t="s">
        <v>45</v>
      </c>
      <c r="E26" s="2" t="s">
        <v>45</v>
      </c>
      <c r="F26" s="2" t="s">
        <v>45</v>
      </c>
      <c r="G26" s="2" t="s">
        <v>45</v>
      </c>
      <c r="H26" s="2" t="s">
        <v>45</v>
      </c>
      <c r="I26" s="2" t="s">
        <v>45</v>
      </c>
      <c r="J26" s="2" t="s">
        <v>45</v>
      </c>
    </row>
    <row r="27" spans="1:12">
      <c r="A27" t="s">
        <v>103</v>
      </c>
      <c r="B27" t="s">
        <v>249</v>
      </c>
      <c r="C27" t="s">
        <v>250</v>
      </c>
      <c r="D27" s="2" t="s">
        <v>45</v>
      </c>
      <c r="E27" s="2" t="s">
        <v>45</v>
      </c>
      <c r="F27" s="2" t="s">
        <v>45</v>
      </c>
      <c r="G27" s="2" t="s">
        <v>45</v>
      </c>
      <c r="H27" s="2" t="s">
        <v>45</v>
      </c>
      <c r="I27" s="2" t="s">
        <v>45</v>
      </c>
      <c r="J27" s="2" t="s">
        <v>45</v>
      </c>
    </row>
    <row r="28" spans="1:12">
      <c r="A28" t="s">
        <v>251</v>
      </c>
      <c r="B28" t="s">
        <v>252</v>
      </c>
      <c r="C28" t="s">
        <v>253</v>
      </c>
      <c r="D28" s="2" t="s">
        <v>45</v>
      </c>
      <c r="E28" s="2" t="s">
        <v>45</v>
      </c>
      <c r="F28" s="2" t="s">
        <v>45</v>
      </c>
      <c r="G28" s="2" t="s">
        <v>45</v>
      </c>
      <c r="H28" s="2" t="s">
        <v>45</v>
      </c>
      <c r="I28" s="2" t="s">
        <v>45</v>
      </c>
      <c r="J28" s="2" t="s">
        <v>45</v>
      </c>
    </row>
    <row r="29" spans="1:12">
      <c r="A29" t="s">
        <v>251</v>
      </c>
      <c r="B29" t="s">
        <v>252</v>
      </c>
      <c r="C29" t="s">
        <v>253</v>
      </c>
      <c r="D29" s="2" t="s">
        <v>45</v>
      </c>
      <c r="E29" s="2" t="s">
        <v>45</v>
      </c>
      <c r="F29" s="2" t="s">
        <v>45</v>
      </c>
      <c r="G29" s="2" t="s">
        <v>45</v>
      </c>
      <c r="H29" s="2" t="s">
        <v>45</v>
      </c>
      <c r="I29" s="2" t="s">
        <v>45</v>
      </c>
      <c r="J29" s="2" t="s">
        <v>45</v>
      </c>
    </row>
    <row r="30" spans="1:12">
      <c r="A30" t="s">
        <v>251</v>
      </c>
      <c r="B30" t="s">
        <v>252</v>
      </c>
      <c r="C30" t="s">
        <v>253</v>
      </c>
      <c r="D30" s="2" t="s">
        <v>45</v>
      </c>
      <c r="E30" s="2" t="s">
        <v>45</v>
      </c>
      <c r="F30" s="2" t="s">
        <v>45</v>
      </c>
      <c r="G30" s="2" t="s">
        <v>45</v>
      </c>
      <c r="H30" s="2" t="s">
        <v>45</v>
      </c>
      <c r="I30" s="2" t="s">
        <v>45</v>
      </c>
      <c r="J30" s="2" t="s">
        <v>45</v>
      </c>
    </row>
    <row r="31" spans="1:12">
      <c r="A31" t="s">
        <v>251</v>
      </c>
      <c r="B31" t="s">
        <v>252</v>
      </c>
      <c r="C31" t="s">
        <v>253</v>
      </c>
      <c r="D31" s="2" t="s">
        <v>45</v>
      </c>
      <c r="E31" s="2" t="s">
        <v>45</v>
      </c>
      <c r="F31" s="2" t="s">
        <v>45</v>
      </c>
      <c r="G31" s="2" t="s">
        <v>45</v>
      </c>
      <c r="H31" s="2" t="s">
        <v>45</v>
      </c>
      <c r="I31" s="2" t="s">
        <v>45</v>
      </c>
      <c r="J31" s="2" t="s">
        <v>45</v>
      </c>
    </row>
    <row r="32" spans="1:12">
      <c r="A32" t="s">
        <v>251</v>
      </c>
      <c r="B32" t="s">
        <v>252</v>
      </c>
      <c r="C32" t="s">
        <v>253</v>
      </c>
      <c r="D32" s="2" t="s">
        <v>45</v>
      </c>
      <c r="E32" s="2" t="s">
        <v>45</v>
      </c>
      <c r="F32" s="2" t="s">
        <v>45</v>
      </c>
      <c r="G32" s="2" t="s">
        <v>45</v>
      </c>
      <c r="H32" s="2" t="s">
        <v>45</v>
      </c>
      <c r="I32" s="2" t="s">
        <v>45</v>
      </c>
      <c r="J32" s="2" t="s">
        <v>45</v>
      </c>
    </row>
    <row r="33" spans="1:10">
      <c r="A33" t="s">
        <v>251</v>
      </c>
      <c r="B33" t="s">
        <v>252</v>
      </c>
      <c r="C33" t="s">
        <v>253</v>
      </c>
      <c r="D33" s="2" t="s">
        <v>45</v>
      </c>
      <c r="E33" s="2" t="s">
        <v>45</v>
      </c>
      <c r="F33" s="2" t="s">
        <v>45</v>
      </c>
      <c r="G33" s="2" t="s">
        <v>45</v>
      </c>
      <c r="H33" s="2" t="s">
        <v>45</v>
      </c>
      <c r="I33" s="2" t="s">
        <v>45</v>
      </c>
      <c r="J33" s="2" t="s">
        <v>45</v>
      </c>
    </row>
    <row r="34" spans="1:10">
      <c r="A34" t="s">
        <v>106</v>
      </c>
      <c r="B34" t="s">
        <v>254</v>
      </c>
      <c r="C34" t="s">
        <v>255</v>
      </c>
      <c r="D34" s="2" t="s">
        <v>45</v>
      </c>
      <c r="E34" s="2" t="s">
        <v>45</v>
      </c>
      <c r="F34" s="2" t="s">
        <v>45</v>
      </c>
      <c r="G34" s="2" t="s">
        <v>45</v>
      </c>
      <c r="H34" s="2" t="s">
        <v>45</v>
      </c>
      <c r="I34" s="2" t="s">
        <v>45</v>
      </c>
      <c r="J34" s="2" t="s">
        <v>45</v>
      </c>
    </row>
    <row r="35" spans="1:10">
      <c r="A35" t="s">
        <v>106</v>
      </c>
      <c r="B35" t="s">
        <v>256</v>
      </c>
      <c r="C35" t="s">
        <v>257</v>
      </c>
      <c r="D35" s="2" t="s">
        <v>45</v>
      </c>
      <c r="E35" s="2" t="s">
        <v>45</v>
      </c>
      <c r="F35" s="2" t="s">
        <v>45</v>
      </c>
      <c r="G35" s="2" t="s">
        <v>45</v>
      </c>
      <c r="H35" s="2" t="s">
        <v>45</v>
      </c>
      <c r="I35" s="2" t="s">
        <v>45</v>
      </c>
      <c r="J35" s="2" t="s">
        <v>45</v>
      </c>
    </row>
    <row r="36" spans="1:10">
      <c r="A36" t="s">
        <v>106</v>
      </c>
      <c r="B36" t="s">
        <v>258</v>
      </c>
      <c r="C36" t="s">
        <v>259</v>
      </c>
      <c r="D36" s="2" t="s">
        <v>45</v>
      </c>
      <c r="E36" s="2" t="s">
        <v>45</v>
      </c>
      <c r="F36" s="2" t="s">
        <v>45</v>
      </c>
      <c r="G36" s="2" t="s">
        <v>45</v>
      </c>
      <c r="H36" s="2" t="s">
        <v>45</v>
      </c>
      <c r="I36" s="2" t="s">
        <v>45</v>
      </c>
      <c r="J36" s="2" t="s">
        <v>45</v>
      </c>
    </row>
    <row r="37" spans="1:10">
      <c r="A37" t="s">
        <v>260</v>
      </c>
      <c r="B37" t="s">
        <v>261</v>
      </c>
      <c r="C37" t="s">
        <v>262</v>
      </c>
      <c r="D37" s="2" t="s">
        <v>45</v>
      </c>
      <c r="E37" s="2" t="s">
        <v>45</v>
      </c>
      <c r="F37" s="2" t="s">
        <v>45</v>
      </c>
      <c r="G37" s="2" t="s">
        <v>45</v>
      </c>
      <c r="H37" s="2" t="s">
        <v>45</v>
      </c>
      <c r="I37" s="2" t="s">
        <v>45</v>
      </c>
      <c r="J37" s="2" t="s">
        <v>45</v>
      </c>
    </row>
    <row r="38" spans="1:10">
      <c r="A38" t="s">
        <v>260</v>
      </c>
      <c r="B38" t="s">
        <v>263</v>
      </c>
      <c r="C38" t="s">
        <v>264</v>
      </c>
      <c r="D38" s="2" t="s">
        <v>45</v>
      </c>
      <c r="E38" s="2" t="s">
        <v>45</v>
      </c>
      <c r="F38" s="2" t="s">
        <v>45</v>
      </c>
      <c r="G38" s="2" t="s">
        <v>45</v>
      </c>
      <c r="H38" s="2" t="s">
        <v>45</v>
      </c>
      <c r="I38" s="2" t="s">
        <v>45</v>
      </c>
      <c r="J38" s="2" t="s">
        <v>45</v>
      </c>
    </row>
    <row r="39" spans="1:10">
      <c r="A39" t="s">
        <v>260</v>
      </c>
      <c r="B39" t="s">
        <v>265</v>
      </c>
      <c r="C39" t="s">
        <v>266</v>
      </c>
      <c r="D39" s="2" t="s">
        <v>45</v>
      </c>
      <c r="E39" s="2" t="s">
        <v>45</v>
      </c>
      <c r="F39" s="2" t="s">
        <v>45</v>
      </c>
      <c r="G39" s="2" t="s">
        <v>45</v>
      </c>
      <c r="H39" s="2" t="s">
        <v>45</v>
      </c>
      <c r="I39" s="2" t="s">
        <v>45</v>
      </c>
      <c r="J39" s="2" t="s">
        <v>45</v>
      </c>
    </row>
    <row r="40" spans="1:10">
      <c r="A40" t="s">
        <v>260</v>
      </c>
      <c r="B40" t="s">
        <v>267</v>
      </c>
      <c r="C40" t="s">
        <v>268</v>
      </c>
      <c r="D40" s="2" t="s">
        <v>45</v>
      </c>
      <c r="E40" s="2" t="s">
        <v>45</v>
      </c>
      <c r="F40" s="2" t="s">
        <v>45</v>
      </c>
      <c r="G40" s="2" t="s">
        <v>45</v>
      </c>
      <c r="H40" s="2" t="s">
        <v>45</v>
      </c>
      <c r="I40" s="2" t="s">
        <v>45</v>
      </c>
      <c r="J40" s="2" t="s">
        <v>45</v>
      </c>
    </row>
    <row r="41" spans="1:10">
      <c r="A41" t="s">
        <v>260</v>
      </c>
      <c r="B41" t="s">
        <v>269</v>
      </c>
      <c r="C41" t="s">
        <v>270</v>
      </c>
      <c r="D41" s="2" t="s">
        <v>45</v>
      </c>
      <c r="E41" s="2" t="s">
        <v>45</v>
      </c>
      <c r="F41" s="2" t="s">
        <v>45</v>
      </c>
      <c r="G41" s="2" t="s">
        <v>45</v>
      </c>
      <c r="H41" s="2" t="s">
        <v>45</v>
      </c>
      <c r="I41" s="2" t="s">
        <v>45</v>
      </c>
      <c r="J41" s="2" t="s">
        <v>45</v>
      </c>
    </row>
    <row r="42" spans="1:10">
      <c r="A42" t="s">
        <v>260</v>
      </c>
      <c r="B42" t="s">
        <v>271</v>
      </c>
      <c r="C42" t="s">
        <v>272</v>
      </c>
      <c r="D42" s="2" t="s">
        <v>45</v>
      </c>
      <c r="E42" s="2" t="s">
        <v>45</v>
      </c>
      <c r="F42" s="2" t="s">
        <v>45</v>
      </c>
      <c r="G42" s="2" t="s">
        <v>45</v>
      </c>
      <c r="H42" s="2" t="s">
        <v>45</v>
      </c>
      <c r="I42" s="2" t="s">
        <v>45</v>
      </c>
      <c r="J42" s="2" t="s">
        <v>45</v>
      </c>
    </row>
    <row r="43" spans="1:10">
      <c r="A43" t="s">
        <v>260</v>
      </c>
      <c r="B43" t="s">
        <v>273</v>
      </c>
      <c r="C43" t="s">
        <v>264</v>
      </c>
      <c r="D43" s="2" t="s">
        <v>45</v>
      </c>
      <c r="E43" s="2" t="s">
        <v>45</v>
      </c>
      <c r="F43" s="2" t="s">
        <v>45</v>
      </c>
      <c r="G43" s="2" t="s">
        <v>45</v>
      </c>
      <c r="H43" s="2" t="s">
        <v>45</v>
      </c>
      <c r="I43" s="2" t="s">
        <v>45</v>
      </c>
      <c r="J43" s="2" t="s">
        <v>45</v>
      </c>
    </row>
    <row r="44" spans="1:10">
      <c r="A44" t="s">
        <v>260</v>
      </c>
      <c r="B44" t="s">
        <v>274</v>
      </c>
      <c r="C44" t="s">
        <v>266</v>
      </c>
      <c r="D44" s="2" t="s">
        <v>45</v>
      </c>
      <c r="E44" s="2" t="s">
        <v>45</v>
      </c>
      <c r="F44" s="2" t="s">
        <v>45</v>
      </c>
      <c r="G44" s="2" t="s">
        <v>45</v>
      </c>
      <c r="H44" s="2" t="s">
        <v>45</v>
      </c>
      <c r="I44" s="2" t="s">
        <v>45</v>
      </c>
      <c r="J44" s="2" t="s">
        <v>45</v>
      </c>
    </row>
    <row r="45" spans="1:10">
      <c r="A45" t="s">
        <v>260</v>
      </c>
      <c r="B45" t="s">
        <v>275</v>
      </c>
      <c r="C45" t="s">
        <v>268</v>
      </c>
      <c r="D45" s="2" t="s">
        <v>45</v>
      </c>
      <c r="E45" s="2" t="s">
        <v>45</v>
      </c>
      <c r="F45" s="2" t="s">
        <v>45</v>
      </c>
      <c r="G45" s="2" t="s">
        <v>45</v>
      </c>
      <c r="H45" s="2" t="s">
        <v>45</v>
      </c>
      <c r="I45" s="2" t="s">
        <v>45</v>
      </c>
      <c r="J45" s="2" t="s">
        <v>45</v>
      </c>
    </row>
    <row r="46" spans="1:10">
      <c r="A46" t="s">
        <v>260</v>
      </c>
      <c r="B46" t="s">
        <v>276</v>
      </c>
      <c r="C46" t="s">
        <v>270</v>
      </c>
      <c r="D46" s="2" t="s">
        <v>45</v>
      </c>
      <c r="E46" s="2" t="s">
        <v>45</v>
      </c>
      <c r="F46" s="2" t="s">
        <v>45</v>
      </c>
      <c r="G46" s="2" t="s">
        <v>45</v>
      </c>
      <c r="H46" s="2" t="s">
        <v>45</v>
      </c>
      <c r="I46" s="2" t="s">
        <v>45</v>
      </c>
      <c r="J46" s="2" t="s">
        <v>45</v>
      </c>
    </row>
    <row r="47" spans="1:10">
      <c r="A47" t="s">
        <v>260</v>
      </c>
      <c r="B47" t="s">
        <v>277</v>
      </c>
      <c r="C47" t="s">
        <v>272</v>
      </c>
      <c r="D47" s="2" t="s">
        <v>45</v>
      </c>
      <c r="E47" s="2" t="s">
        <v>45</v>
      </c>
      <c r="F47" s="2" t="s">
        <v>45</v>
      </c>
      <c r="G47" s="2" t="s">
        <v>45</v>
      </c>
      <c r="H47" s="2" t="s">
        <v>45</v>
      </c>
      <c r="I47" s="2" t="s">
        <v>45</v>
      </c>
      <c r="J47" s="2" t="s">
        <v>45</v>
      </c>
    </row>
    <row r="48" spans="1:10">
      <c r="A48" t="s">
        <v>278</v>
      </c>
      <c r="B48" t="s">
        <v>279</v>
      </c>
      <c r="C48" t="s">
        <v>280</v>
      </c>
      <c r="D48" s="2" t="s">
        <v>45</v>
      </c>
      <c r="E48" s="2" t="s">
        <v>45</v>
      </c>
      <c r="F48" s="2" t="s">
        <v>45</v>
      </c>
      <c r="G48" s="2" t="s">
        <v>45</v>
      </c>
      <c r="H48" s="2" t="s">
        <v>45</v>
      </c>
      <c r="I48" s="2" t="s">
        <v>45</v>
      </c>
      <c r="J48" s="2" t="s">
        <v>45</v>
      </c>
    </row>
    <row r="49" spans="1:10">
      <c r="A49" t="s">
        <v>278</v>
      </c>
      <c r="B49" t="s">
        <v>281</v>
      </c>
      <c r="C49" t="s">
        <v>282</v>
      </c>
      <c r="D49" s="2" t="s">
        <v>45</v>
      </c>
      <c r="E49" s="2" t="s">
        <v>45</v>
      </c>
      <c r="F49" s="2" t="s">
        <v>45</v>
      </c>
      <c r="G49" s="2" t="s">
        <v>45</v>
      </c>
      <c r="H49" s="2" t="s">
        <v>45</v>
      </c>
      <c r="I49" s="2" t="s">
        <v>45</v>
      </c>
      <c r="J49" s="2" t="s">
        <v>45</v>
      </c>
    </row>
    <row r="50" spans="1:10">
      <c r="A50" t="s">
        <v>278</v>
      </c>
      <c r="B50" t="s">
        <v>283</v>
      </c>
      <c r="C50" t="s">
        <v>284</v>
      </c>
      <c r="D50" s="2" t="s">
        <v>45</v>
      </c>
      <c r="E50" s="2" t="s">
        <v>45</v>
      </c>
      <c r="F50" s="2" t="s">
        <v>45</v>
      </c>
      <c r="G50" s="2" t="s">
        <v>45</v>
      </c>
      <c r="H50" s="2" t="s">
        <v>45</v>
      </c>
      <c r="I50" s="2" t="s">
        <v>45</v>
      </c>
      <c r="J50" s="2" t="s">
        <v>45</v>
      </c>
    </row>
    <row r="51" spans="1:10">
      <c r="A51" t="s">
        <v>278</v>
      </c>
      <c r="B51" t="s">
        <v>285</v>
      </c>
      <c r="C51" t="s">
        <v>286</v>
      </c>
      <c r="D51" s="2" t="s">
        <v>45</v>
      </c>
      <c r="E51" s="2" t="s">
        <v>45</v>
      </c>
      <c r="F51" s="2" t="s">
        <v>45</v>
      </c>
      <c r="G51" s="2" t="s">
        <v>45</v>
      </c>
      <c r="H51" s="2" t="s">
        <v>45</v>
      </c>
      <c r="I51" s="2" t="s">
        <v>45</v>
      </c>
      <c r="J51" s="2" t="s">
        <v>45</v>
      </c>
    </row>
    <row r="52" spans="1:10">
      <c r="A52" t="s">
        <v>278</v>
      </c>
      <c r="B52" t="s">
        <v>287</v>
      </c>
      <c r="C52" t="s">
        <v>288</v>
      </c>
      <c r="D52" s="2" t="s">
        <v>45</v>
      </c>
      <c r="E52" s="2" t="s">
        <v>45</v>
      </c>
      <c r="F52" s="2" t="s">
        <v>45</v>
      </c>
      <c r="G52" s="2" t="s">
        <v>45</v>
      </c>
      <c r="H52" s="2" t="s">
        <v>45</v>
      </c>
      <c r="I52" s="2" t="s">
        <v>45</v>
      </c>
      <c r="J52" s="2" t="s">
        <v>45</v>
      </c>
    </row>
    <row r="53" spans="1:10">
      <c r="A53" t="s">
        <v>278</v>
      </c>
      <c r="B53" t="s">
        <v>289</v>
      </c>
      <c r="C53" t="s">
        <v>290</v>
      </c>
      <c r="D53" s="2" t="s">
        <v>45</v>
      </c>
      <c r="E53" s="2" t="s">
        <v>45</v>
      </c>
      <c r="F53" s="2" t="s">
        <v>45</v>
      </c>
      <c r="G53" s="2" t="s">
        <v>45</v>
      </c>
      <c r="H53" s="2" t="s">
        <v>45</v>
      </c>
      <c r="I53" s="2" t="s">
        <v>45</v>
      </c>
      <c r="J53" s="2" t="s">
        <v>45</v>
      </c>
    </row>
    <row r="54" spans="1:10">
      <c r="A54" t="s">
        <v>278</v>
      </c>
      <c r="B54" t="s">
        <v>291</v>
      </c>
      <c r="C54" t="s">
        <v>292</v>
      </c>
      <c r="D54" s="2" t="s">
        <v>45</v>
      </c>
      <c r="E54" s="2" t="s">
        <v>45</v>
      </c>
      <c r="F54" s="2" t="s">
        <v>45</v>
      </c>
      <c r="G54" s="2" t="s">
        <v>45</v>
      </c>
      <c r="H54" s="2" t="s">
        <v>45</v>
      </c>
      <c r="I54" s="2" t="s">
        <v>45</v>
      </c>
      <c r="J54" s="2" t="s">
        <v>45</v>
      </c>
    </row>
    <row r="55" spans="1:10">
      <c r="A55" t="s">
        <v>278</v>
      </c>
      <c r="B55" t="s">
        <v>293</v>
      </c>
      <c r="C55" t="s">
        <v>294</v>
      </c>
      <c r="D55" s="2" t="s">
        <v>45</v>
      </c>
      <c r="E55" s="2" t="s">
        <v>45</v>
      </c>
      <c r="F55" s="2" t="s">
        <v>45</v>
      </c>
      <c r="G55" s="2" t="s">
        <v>45</v>
      </c>
      <c r="H55" s="2" t="s">
        <v>45</v>
      </c>
      <c r="I55" s="2" t="s">
        <v>45</v>
      </c>
      <c r="J55" s="2" t="s">
        <v>45</v>
      </c>
    </row>
    <row r="56" spans="1:10">
      <c r="A56" t="s">
        <v>278</v>
      </c>
      <c r="B56" t="s">
        <v>295</v>
      </c>
      <c r="C56" t="s">
        <v>296</v>
      </c>
      <c r="D56" s="2" t="s">
        <v>45</v>
      </c>
      <c r="E56" s="2" t="s">
        <v>45</v>
      </c>
      <c r="F56" s="2" t="s">
        <v>45</v>
      </c>
      <c r="G56" s="2" t="s">
        <v>45</v>
      </c>
      <c r="H56" s="2" t="s">
        <v>45</v>
      </c>
      <c r="I56" s="2" t="s">
        <v>45</v>
      </c>
      <c r="J56" s="2" t="s">
        <v>45</v>
      </c>
    </row>
    <row r="57" spans="1:10">
      <c r="A57" t="s">
        <v>278</v>
      </c>
      <c r="B57" t="s">
        <v>297</v>
      </c>
      <c r="C57" t="s">
        <v>298</v>
      </c>
      <c r="D57" s="2" t="s">
        <v>45</v>
      </c>
      <c r="E57" s="2" t="s">
        <v>45</v>
      </c>
      <c r="F57" s="2" t="s">
        <v>45</v>
      </c>
      <c r="G57" s="2" t="s">
        <v>45</v>
      </c>
      <c r="H57" s="2" t="s">
        <v>45</v>
      </c>
      <c r="I57" s="2" t="s">
        <v>45</v>
      </c>
      <c r="J57" s="2" t="s">
        <v>45</v>
      </c>
    </row>
    <row r="58" spans="1:10">
      <c r="A58" t="s">
        <v>278</v>
      </c>
      <c r="B58" t="s">
        <v>299</v>
      </c>
      <c r="C58" t="s">
        <v>300</v>
      </c>
      <c r="D58" s="2" t="s">
        <v>45</v>
      </c>
      <c r="E58" s="2" t="s">
        <v>45</v>
      </c>
      <c r="F58" s="2" t="s">
        <v>45</v>
      </c>
      <c r="G58" s="2" t="s">
        <v>45</v>
      </c>
      <c r="H58" s="2" t="s">
        <v>45</v>
      </c>
      <c r="I58" s="2" t="s">
        <v>45</v>
      </c>
      <c r="J58" s="2" t="s">
        <v>45</v>
      </c>
    </row>
    <row r="59" spans="1:10">
      <c r="A59" t="s">
        <v>65</v>
      </c>
      <c r="B59" t="s">
        <v>301</v>
      </c>
      <c r="C59" t="s">
        <v>302</v>
      </c>
      <c r="D59" s="2" t="s">
        <v>45</v>
      </c>
      <c r="E59" s="2" t="s">
        <v>45</v>
      </c>
      <c r="F59" s="2" t="s">
        <v>45</v>
      </c>
      <c r="G59" s="2" t="s">
        <v>45</v>
      </c>
      <c r="H59" s="2" t="s">
        <v>45</v>
      </c>
      <c r="I59" s="2" t="s">
        <v>45</v>
      </c>
      <c r="J59" s="2" t="s">
        <v>45</v>
      </c>
    </row>
    <row r="60" spans="1:10">
      <c r="A60" t="s">
        <v>65</v>
      </c>
      <c r="B60" t="s">
        <v>303</v>
      </c>
      <c r="C60" t="s">
        <v>304</v>
      </c>
      <c r="D60" s="2" t="s">
        <v>45</v>
      </c>
      <c r="E60" s="2" t="s">
        <v>45</v>
      </c>
      <c r="F60" s="2" t="s">
        <v>45</v>
      </c>
      <c r="G60" s="3" t="s">
        <v>305</v>
      </c>
      <c r="H60" s="3" t="s">
        <v>306</v>
      </c>
      <c r="I60" s="2" t="s">
        <v>45</v>
      </c>
      <c r="J60" s="2" t="s">
        <v>45</v>
      </c>
    </row>
    <row r="61" spans="1:10">
      <c r="A61" t="s">
        <v>307</v>
      </c>
      <c r="B61" t="s">
        <v>308</v>
      </c>
      <c r="C61" t="s">
        <v>309</v>
      </c>
      <c r="D61" s="2" t="s">
        <v>45</v>
      </c>
      <c r="E61" s="2" t="s">
        <v>45</v>
      </c>
      <c r="F61" s="2" t="s">
        <v>45</v>
      </c>
      <c r="G61" s="2" t="s">
        <v>45</v>
      </c>
      <c r="H61" s="2" t="s">
        <v>45</v>
      </c>
      <c r="I61" s="2" t="s">
        <v>45</v>
      </c>
      <c r="J61" s="2" t="s">
        <v>45</v>
      </c>
    </row>
    <row r="62" spans="1:10">
      <c r="A62" t="s">
        <v>307</v>
      </c>
      <c r="B62" t="s">
        <v>308</v>
      </c>
      <c r="C62" t="s">
        <v>310</v>
      </c>
      <c r="D62" s="2" t="s">
        <v>45</v>
      </c>
      <c r="E62" s="2" t="s">
        <v>45</v>
      </c>
      <c r="F62" s="2" t="s">
        <v>45</v>
      </c>
      <c r="G62" s="2" t="s">
        <v>45</v>
      </c>
      <c r="H62" s="2" t="s">
        <v>45</v>
      </c>
      <c r="I62" s="2" t="s">
        <v>45</v>
      </c>
      <c r="J62" s="2" t="s">
        <v>45</v>
      </c>
    </row>
    <row r="63" spans="1:10">
      <c r="A63" t="s">
        <v>307</v>
      </c>
      <c r="B63" t="s">
        <v>311</v>
      </c>
      <c r="C63" t="s">
        <v>312</v>
      </c>
      <c r="D63" s="2" t="s">
        <v>45</v>
      </c>
      <c r="E63" s="2" t="s">
        <v>45</v>
      </c>
      <c r="F63" s="2" t="s">
        <v>45</v>
      </c>
      <c r="G63" s="2" t="s">
        <v>45</v>
      </c>
      <c r="H63" s="2" t="s">
        <v>45</v>
      </c>
      <c r="I63" s="2" t="s">
        <v>45</v>
      </c>
      <c r="J63" s="2" t="s">
        <v>45</v>
      </c>
    </row>
    <row r="64" spans="1:10">
      <c r="A64" t="s">
        <v>307</v>
      </c>
      <c r="B64" t="s">
        <v>311</v>
      </c>
      <c r="C64" t="s">
        <v>313</v>
      </c>
      <c r="D64" s="2" t="s">
        <v>45</v>
      </c>
      <c r="E64" s="2" t="s">
        <v>45</v>
      </c>
      <c r="F64" s="2" t="s">
        <v>45</v>
      </c>
      <c r="G64" s="2" t="s">
        <v>45</v>
      </c>
      <c r="H64" s="2" t="s">
        <v>45</v>
      </c>
      <c r="I64" s="2" t="s">
        <v>45</v>
      </c>
      <c r="J64" s="2" t="s">
        <v>45</v>
      </c>
    </row>
    <row r="65" spans="1:10">
      <c r="A65" t="s">
        <v>307</v>
      </c>
      <c r="B65" t="s">
        <v>311</v>
      </c>
      <c r="C65" t="s">
        <v>314</v>
      </c>
      <c r="D65" s="2" t="s">
        <v>45</v>
      </c>
      <c r="E65" s="2" t="s">
        <v>45</v>
      </c>
      <c r="F65" s="2" t="s">
        <v>45</v>
      </c>
      <c r="G65" s="2" t="s">
        <v>45</v>
      </c>
      <c r="H65" s="2" t="s">
        <v>45</v>
      </c>
      <c r="I65" s="2" t="s">
        <v>45</v>
      </c>
      <c r="J65" s="2" t="s">
        <v>45</v>
      </c>
    </row>
    <row r="66" spans="1:10">
      <c r="A66" t="s">
        <v>307</v>
      </c>
      <c r="B66" t="s">
        <v>315</v>
      </c>
      <c r="C66" t="s">
        <v>316</v>
      </c>
      <c r="D66" s="2" t="s">
        <v>45</v>
      </c>
      <c r="E66" s="2" t="s">
        <v>45</v>
      </c>
      <c r="F66" s="2" t="s">
        <v>45</v>
      </c>
      <c r="G66" s="2" t="s">
        <v>45</v>
      </c>
      <c r="H66" s="2" t="s">
        <v>45</v>
      </c>
      <c r="I66" s="2" t="s">
        <v>45</v>
      </c>
      <c r="J66" s="2" t="s">
        <v>45</v>
      </c>
    </row>
    <row r="67" spans="1:10">
      <c r="A67" t="s">
        <v>307</v>
      </c>
      <c r="B67" t="s">
        <v>317</v>
      </c>
      <c r="C67" t="s">
        <v>318</v>
      </c>
      <c r="D67" s="2" t="s">
        <v>45</v>
      </c>
      <c r="E67" s="2" t="s">
        <v>45</v>
      </c>
      <c r="F67" s="2" t="s">
        <v>45</v>
      </c>
      <c r="G67" s="2" t="s">
        <v>45</v>
      </c>
      <c r="H67" s="2" t="s">
        <v>45</v>
      </c>
      <c r="I67" s="2" t="s">
        <v>45</v>
      </c>
      <c r="J67" s="2" t="s">
        <v>45</v>
      </c>
    </row>
    <row r="68" spans="1:10">
      <c r="A68" t="s">
        <v>307</v>
      </c>
      <c r="B68" t="s">
        <v>317</v>
      </c>
      <c r="C68" t="s">
        <v>319</v>
      </c>
      <c r="D68" s="2" t="s">
        <v>45</v>
      </c>
      <c r="E68" s="2" t="s">
        <v>45</v>
      </c>
      <c r="F68" s="2" t="s">
        <v>45</v>
      </c>
      <c r="G68" s="2" t="s">
        <v>45</v>
      </c>
      <c r="H68" s="2" t="s">
        <v>45</v>
      </c>
      <c r="I68" s="2" t="s">
        <v>45</v>
      </c>
      <c r="J68" s="2" t="s">
        <v>45</v>
      </c>
    </row>
    <row r="69" spans="1:10">
      <c r="A69" t="s">
        <v>307</v>
      </c>
      <c r="B69" t="s">
        <v>317</v>
      </c>
      <c r="C69" t="s">
        <v>320</v>
      </c>
      <c r="D69" s="2" t="s">
        <v>45</v>
      </c>
      <c r="E69" s="2" t="s">
        <v>45</v>
      </c>
      <c r="F69" s="2" t="s">
        <v>45</v>
      </c>
      <c r="G69" s="2" t="s">
        <v>45</v>
      </c>
      <c r="H69" s="2" t="s">
        <v>45</v>
      </c>
      <c r="I69" s="2" t="s">
        <v>45</v>
      </c>
      <c r="J69" s="2" t="s">
        <v>45</v>
      </c>
    </row>
    <row r="70" spans="1:10">
      <c r="A70" t="s">
        <v>307</v>
      </c>
      <c r="B70" t="s">
        <v>321</v>
      </c>
      <c r="C70" t="s">
        <v>322</v>
      </c>
      <c r="D70" s="2" t="s">
        <v>45</v>
      </c>
      <c r="E70" s="2" t="s">
        <v>45</v>
      </c>
      <c r="F70" s="2" t="s">
        <v>45</v>
      </c>
      <c r="G70" s="2" t="s">
        <v>45</v>
      </c>
      <c r="H70" s="2" t="s">
        <v>45</v>
      </c>
      <c r="I70" s="2" t="s">
        <v>45</v>
      </c>
      <c r="J70" s="2" t="s">
        <v>45</v>
      </c>
    </row>
    <row r="71" spans="1:10">
      <c r="A71" t="s">
        <v>307</v>
      </c>
      <c r="B71" t="s">
        <v>323</v>
      </c>
      <c r="C71" t="s">
        <v>324</v>
      </c>
      <c r="D71" s="2" t="s">
        <v>45</v>
      </c>
      <c r="E71" s="2" t="s">
        <v>45</v>
      </c>
      <c r="F71" s="2" t="s">
        <v>45</v>
      </c>
      <c r="G71" s="2" t="s">
        <v>45</v>
      </c>
      <c r="H71" s="2" t="s">
        <v>45</v>
      </c>
      <c r="I71" s="2" t="s">
        <v>45</v>
      </c>
      <c r="J71" s="2" t="s">
        <v>45</v>
      </c>
    </row>
    <row r="72" spans="1:10">
      <c r="A72" t="s">
        <v>307</v>
      </c>
      <c r="B72" t="s">
        <v>323</v>
      </c>
      <c r="C72" t="s">
        <v>325</v>
      </c>
      <c r="D72" s="2" t="s">
        <v>45</v>
      </c>
      <c r="E72" s="2" t="s">
        <v>45</v>
      </c>
      <c r="F72" s="2" t="s">
        <v>45</v>
      </c>
      <c r="G72" s="2" t="s">
        <v>45</v>
      </c>
      <c r="H72" s="2" t="s">
        <v>45</v>
      </c>
      <c r="I72" s="2" t="s">
        <v>45</v>
      </c>
      <c r="J72" s="2" t="s">
        <v>45</v>
      </c>
    </row>
    <row r="73" spans="1:10">
      <c r="A73" t="s">
        <v>307</v>
      </c>
      <c r="B73" t="s">
        <v>323</v>
      </c>
      <c r="C73" t="s">
        <v>326</v>
      </c>
      <c r="D73" s="2" t="s">
        <v>45</v>
      </c>
      <c r="E73" s="2" t="s">
        <v>45</v>
      </c>
      <c r="F73" s="2" t="s">
        <v>45</v>
      </c>
      <c r="G73" s="2" t="s">
        <v>45</v>
      </c>
      <c r="H73" s="2" t="s">
        <v>45</v>
      </c>
      <c r="I73" s="2" t="s">
        <v>45</v>
      </c>
      <c r="J73" s="2" t="s">
        <v>45</v>
      </c>
    </row>
    <row r="74" spans="1:10">
      <c r="A74" t="s">
        <v>307</v>
      </c>
      <c r="B74" t="s">
        <v>323</v>
      </c>
      <c r="C74" t="s">
        <v>327</v>
      </c>
      <c r="D74" s="2" t="s">
        <v>45</v>
      </c>
      <c r="E74" s="2" t="s">
        <v>45</v>
      </c>
      <c r="F74" s="2" t="s">
        <v>45</v>
      </c>
      <c r="G74" s="2" t="s">
        <v>45</v>
      </c>
      <c r="H74" s="2" t="s">
        <v>45</v>
      </c>
      <c r="I74" s="2" t="s">
        <v>45</v>
      </c>
      <c r="J74" s="2" t="s">
        <v>45</v>
      </c>
    </row>
    <row r="75" spans="1:10">
      <c r="A75" t="s">
        <v>307</v>
      </c>
      <c r="B75" t="s">
        <v>328</v>
      </c>
      <c r="C75" t="s">
        <v>329</v>
      </c>
      <c r="D75" s="2" t="s">
        <v>45</v>
      </c>
      <c r="E75" s="2" t="s">
        <v>45</v>
      </c>
      <c r="F75" s="2" t="s">
        <v>45</v>
      </c>
      <c r="G75" s="2" t="s">
        <v>45</v>
      </c>
      <c r="H75" s="2" t="s">
        <v>45</v>
      </c>
      <c r="I75" s="2" t="s">
        <v>45</v>
      </c>
      <c r="J75" s="2" t="s">
        <v>45</v>
      </c>
    </row>
    <row r="76" spans="1:10">
      <c r="A76" t="s">
        <v>307</v>
      </c>
      <c r="B76" t="s">
        <v>328</v>
      </c>
      <c r="C76" t="s">
        <v>330</v>
      </c>
      <c r="D76" s="2" t="s">
        <v>45</v>
      </c>
      <c r="E76" s="2" t="s">
        <v>45</v>
      </c>
      <c r="F76" s="2" t="s">
        <v>45</v>
      </c>
      <c r="G76" s="2" t="s">
        <v>45</v>
      </c>
      <c r="H76" s="2" t="s">
        <v>45</v>
      </c>
      <c r="I76" s="2" t="s">
        <v>45</v>
      </c>
      <c r="J76" s="2" t="s">
        <v>45</v>
      </c>
    </row>
    <row r="77" spans="1:10">
      <c r="A77" t="s">
        <v>307</v>
      </c>
      <c r="B77" t="s">
        <v>331</v>
      </c>
      <c r="C77" t="s">
        <v>332</v>
      </c>
      <c r="D77" s="2" t="s">
        <v>45</v>
      </c>
      <c r="E77" s="2" t="s">
        <v>45</v>
      </c>
      <c r="F77" s="2" t="s">
        <v>45</v>
      </c>
      <c r="G77" s="2" t="s">
        <v>45</v>
      </c>
      <c r="H77" s="2" t="s">
        <v>45</v>
      </c>
      <c r="I77" s="2" t="s">
        <v>45</v>
      </c>
      <c r="J77" s="2" t="s">
        <v>45</v>
      </c>
    </row>
    <row r="78" spans="1:10">
      <c r="A78" t="s">
        <v>333</v>
      </c>
      <c r="B78" t="s">
        <v>334</v>
      </c>
      <c r="C78" t="s">
        <v>335</v>
      </c>
      <c r="D78" s="2" t="s">
        <v>45</v>
      </c>
      <c r="E78" s="2" t="s">
        <v>45</v>
      </c>
      <c r="F78" s="2" t="s">
        <v>45</v>
      </c>
      <c r="G78" s="2" t="s">
        <v>45</v>
      </c>
      <c r="H78" s="2" t="s">
        <v>45</v>
      </c>
      <c r="I78" s="2" t="s">
        <v>45</v>
      </c>
      <c r="J78" s="2" t="s">
        <v>45</v>
      </c>
    </row>
    <row r="79" spans="1:10">
      <c r="A79" t="s">
        <v>333</v>
      </c>
      <c r="B79" t="s">
        <v>336</v>
      </c>
      <c r="C79" t="s">
        <v>337</v>
      </c>
      <c r="D79" s="2" t="s">
        <v>45</v>
      </c>
      <c r="E79" s="2" t="s">
        <v>45</v>
      </c>
      <c r="F79" s="2" t="s">
        <v>45</v>
      </c>
      <c r="G79" s="2" t="s">
        <v>45</v>
      </c>
      <c r="H79" s="2" t="s">
        <v>45</v>
      </c>
      <c r="I79" s="2" t="s">
        <v>45</v>
      </c>
      <c r="J79" s="2" t="s">
        <v>45</v>
      </c>
    </row>
    <row r="80" spans="1:10">
      <c r="A80" t="s">
        <v>333</v>
      </c>
      <c r="B80" t="s">
        <v>338</v>
      </c>
      <c r="C80" t="s">
        <v>339</v>
      </c>
      <c r="D80" s="2" t="s">
        <v>45</v>
      </c>
      <c r="E80" s="2" t="s">
        <v>45</v>
      </c>
      <c r="F80" s="2" t="s">
        <v>45</v>
      </c>
      <c r="G80" s="2" t="s">
        <v>45</v>
      </c>
      <c r="H80" s="2" t="s">
        <v>45</v>
      </c>
      <c r="I80" s="2" t="s">
        <v>45</v>
      </c>
      <c r="J80" s="2" t="s">
        <v>45</v>
      </c>
    </row>
    <row r="81" spans="1:11">
      <c r="A81" t="s">
        <v>333</v>
      </c>
      <c r="B81" t="s">
        <v>340</v>
      </c>
      <c r="C81" t="s">
        <v>341</v>
      </c>
      <c r="D81" s="2" t="s">
        <v>45</v>
      </c>
      <c r="E81" s="2" t="s">
        <v>45</v>
      </c>
      <c r="F81" s="2" t="s">
        <v>45</v>
      </c>
      <c r="G81" s="2" t="s">
        <v>45</v>
      </c>
      <c r="H81" s="2" t="s">
        <v>45</v>
      </c>
      <c r="I81" s="2" t="s">
        <v>45</v>
      </c>
      <c r="J81" s="2" t="s">
        <v>45</v>
      </c>
    </row>
    <row r="82" spans="1:11">
      <c r="A82" t="s">
        <v>342</v>
      </c>
      <c r="B82" t="s">
        <v>343</v>
      </c>
      <c r="C82" t="s">
        <v>344</v>
      </c>
      <c r="D82" s="2" t="s">
        <v>45</v>
      </c>
      <c r="E82" s="2" t="s">
        <v>45</v>
      </c>
      <c r="F82" s="2" t="s">
        <v>45</v>
      </c>
      <c r="G82" s="2" t="s">
        <v>45</v>
      </c>
      <c r="H82" s="2" t="s">
        <v>45</v>
      </c>
      <c r="I82" s="2" t="s">
        <v>45</v>
      </c>
      <c r="J82" s="2" t="s">
        <v>45</v>
      </c>
    </row>
    <row r="83" spans="1:11">
      <c r="A83" t="s">
        <v>342</v>
      </c>
      <c r="B83" t="s">
        <v>345</v>
      </c>
      <c r="C83" t="s">
        <v>346</v>
      </c>
      <c r="D83" s="2" t="s">
        <v>45</v>
      </c>
      <c r="E83" s="2" t="s">
        <v>45</v>
      </c>
      <c r="F83" s="2" t="s">
        <v>45</v>
      </c>
      <c r="G83" s="2" t="s">
        <v>45</v>
      </c>
      <c r="H83" s="2" t="s">
        <v>45</v>
      </c>
      <c r="I83" s="2" t="s">
        <v>45</v>
      </c>
      <c r="J83" s="2" t="s">
        <v>45</v>
      </c>
    </row>
    <row r="84" spans="1:11">
      <c r="A84" t="s">
        <v>342</v>
      </c>
      <c r="B84" t="s">
        <v>347</v>
      </c>
      <c r="C84" t="s">
        <v>348</v>
      </c>
      <c r="D84" s="2" t="s">
        <v>45</v>
      </c>
      <c r="E84" s="2" t="s">
        <v>45</v>
      </c>
      <c r="F84" s="2" t="s">
        <v>45</v>
      </c>
      <c r="G84" s="2" t="s">
        <v>45</v>
      </c>
      <c r="H84" s="2" t="s">
        <v>45</v>
      </c>
      <c r="I84" s="2" t="s">
        <v>45</v>
      </c>
      <c r="J84" s="2" t="s">
        <v>45</v>
      </c>
    </row>
    <row r="85" spans="1:11">
      <c r="A85" t="s">
        <v>342</v>
      </c>
      <c r="B85" t="s">
        <v>349</v>
      </c>
      <c r="C85" t="s">
        <v>350</v>
      </c>
      <c r="D85" s="2" t="s">
        <v>45</v>
      </c>
      <c r="E85" s="2" t="s">
        <v>45</v>
      </c>
      <c r="F85" s="2" t="s">
        <v>45</v>
      </c>
      <c r="G85" s="2" t="s">
        <v>45</v>
      </c>
      <c r="H85" s="2" t="s">
        <v>45</v>
      </c>
      <c r="I85" s="2" t="s">
        <v>45</v>
      </c>
      <c r="J85" s="2" t="s">
        <v>45</v>
      </c>
    </row>
    <row r="86" spans="1:11">
      <c r="A86" t="s">
        <v>351</v>
      </c>
      <c r="B86" t="s">
        <v>352</v>
      </c>
      <c r="C86" t="s">
        <v>353</v>
      </c>
      <c r="D86" s="2" t="s">
        <v>45</v>
      </c>
      <c r="E86" s="2" t="s">
        <v>45</v>
      </c>
      <c r="F86" s="3" t="s">
        <v>354</v>
      </c>
      <c r="G86" s="3" t="s">
        <v>355</v>
      </c>
      <c r="H86" s="3" t="s">
        <v>356</v>
      </c>
      <c r="I86" s="3" t="s">
        <v>354</v>
      </c>
      <c r="J86" s="3" t="s">
        <v>355</v>
      </c>
    </row>
    <row r="87" spans="1:11">
      <c r="A87" t="s">
        <v>351</v>
      </c>
      <c r="B87" t="s">
        <v>357</v>
      </c>
      <c r="C87" t="s">
        <v>358</v>
      </c>
      <c r="D87" s="2" t="s">
        <v>45</v>
      </c>
      <c r="E87" s="2" t="s">
        <v>45</v>
      </c>
      <c r="F87" s="2" t="s">
        <v>45</v>
      </c>
      <c r="G87" s="2" t="s">
        <v>45</v>
      </c>
      <c r="H87" s="2" t="s">
        <v>45</v>
      </c>
      <c r="I87" s="2" t="s">
        <v>45</v>
      </c>
      <c r="J87" s="2" t="s">
        <v>45</v>
      </c>
    </row>
    <row r="88" spans="1:11">
      <c r="A88" t="s">
        <v>351</v>
      </c>
      <c r="B88" t="s">
        <v>359</v>
      </c>
      <c r="C88" t="s">
        <v>360</v>
      </c>
      <c r="D88" s="2" t="s">
        <v>45</v>
      </c>
      <c r="E88" s="2" t="s">
        <v>45</v>
      </c>
      <c r="F88" s="2" t="s">
        <v>45</v>
      </c>
      <c r="G88" s="2" t="s">
        <v>45</v>
      </c>
      <c r="H88" s="2" t="s">
        <v>45</v>
      </c>
      <c r="I88" s="2" t="s">
        <v>45</v>
      </c>
      <c r="J88" s="2" t="s">
        <v>45</v>
      </c>
      <c r="K88" t="s">
        <v>361</v>
      </c>
    </row>
    <row r="89" spans="1:11">
      <c r="A89" t="s">
        <v>351</v>
      </c>
      <c r="B89" t="s">
        <v>359</v>
      </c>
      <c r="C89" t="s">
        <v>362</v>
      </c>
      <c r="D89" s="2" t="s">
        <v>45</v>
      </c>
      <c r="E89" s="2" t="s">
        <v>45</v>
      </c>
      <c r="F89" s="2" t="s">
        <v>45</v>
      </c>
      <c r="G89" s="2" t="s">
        <v>45</v>
      </c>
      <c r="H89" s="2" t="s">
        <v>45</v>
      </c>
      <c r="I89" s="2" t="s">
        <v>45</v>
      </c>
      <c r="J89" s="2" t="s">
        <v>45</v>
      </c>
    </row>
    <row r="90" spans="1:11">
      <c r="A90" t="s">
        <v>351</v>
      </c>
      <c r="B90" t="s">
        <v>363</v>
      </c>
      <c r="C90" t="s">
        <v>364</v>
      </c>
      <c r="D90" s="2" t="s">
        <v>45</v>
      </c>
      <c r="E90" s="2" t="s">
        <v>45</v>
      </c>
      <c r="F90" s="2" t="s">
        <v>45</v>
      </c>
      <c r="G90" s="2" t="s">
        <v>45</v>
      </c>
      <c r="H90" s="2" t="s">
        <v>45</v>
      </c>
      <c r="I90" s="2" t="s">
        <v>45</v>
      </c>
      <c r="J90" s="2" t="s">
        <v>45</v>
      </c>
    </row>
    <row r="91" spans="1:11">
      <c r="A91" t="s">
        <v>351</v>
      </c>
      <c r="B91" t="s">
        <v>365</v>
      </c>
      <c r="C91" t="s">
        <v>366</v>
      </c>
      <c r="D91" s="2" t="s">
        <v>45</v>
      </c>
      <c r="E91" s="2" t="s">
        <v>45</v>
      </c>
      <c r="F91" s="2" t="s">
        <v>45</v>
      </c>
      <c r="G91" s="2" t="s">
        <v>45</v>
      </c>
      <c r="H91" s="2" t="s">
        <v>45</v>
      </c>
      <c r="I91" s="2" t="s">
        <v>45</v>
      </c>
      <c r="J91" s="2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2"/>
  <sheetViews>
    <sheetView topLeftCell="A85" zoomScaleNormal="100" workbookViewId="0">
      <selection activeCell="I18" sqref="I18"/>
    </sheetView>
  </sheetViews>
  <sheetFormatPr defaultRowHeight="15"/>
  <cols>
    <col min="1" max="1" width="18.7109375" bestFit="1" customWidth="1"/>
    <col min="2" max="2" width="39.42578125" bestFit="1" customWidth="1"/>
    <col min="3" max="3" width="42.140625" bestFit="1" customWidth="1"/>
    <col min="4" max="4" width="7.140625" bestFit="1" customWidth="1"/>
    <col min="5" max="5" width="11.7109375" bestFit="1" customWidth="1"/>
    <col min="6" max="6" width="11.85546875" bestFit="1" customWidth="1"/>
    <col min="7" max="8" width="19.28515625" bestFit="1" customWidth="1"/>
    <col min="9" max="10" width="33" bestFit="1" customWidth="1"/>
  </cols>
  <sheetData>
    <row r="1" spans="1:11">
      <c r="A1" s="1" t="s">
        <v>40</v>
      </c>
      <c r="B1" s="1" t="s">
        <v>115</v>
      </c>
      <c r="C1" s="1" t="s">
        <v>4</v>
      </c>
      <c r="D1" s="4" t="s">
        <v>6</v>
      </c>
      <c r="E1" s="4" t="s">
        <v>8</v>
      </c>
      <c r="F1" s="4" t="s">
        <v>10</v>
      </c>
      <c r="G1" s="1" t="s">
        <v>12</v>
      </c>
      <c r="H1" s="1" t="s">
        <v>14</v>
      </c>
      <c r="I1" s="1" t="s">
        <v>16</v>
      </c>
      <c r="J1" s="1" t="s">
        <v>18</v>
      </c>
    </row>
    <row r="2" spans="1:11">
      <c r="A2" t="s">
        <v>367</v>
      </c>
      <c r="B2" t="s">
        <v>368</v>
      </c>
      <c r="C2">
        <v>3</v>
      </c>
      <c r="D2" s="2" t="s">
        <v>45</v>
      </c>
      <c r="E2" s="2" t="s">
        <v>45</v>
      </c>
      <c r="F2" s="2" t="s">
        <v>45</v>
      </c>
      <c r="G2" s="2" t="s">
        <v>45</v>
      </c>
      <c r="H2" s="2" t="s">
        <v>45</v>
      </c>
      <c r="I2" s="2" t="s">
        <v>45</v>
      </c>
      <c r="J2" s="2" t="s">
        <v>45</v>
      </c>
    </row>
    <row r="3" spans="1:11">
      <c r="A3" t="s">
        <v>369</v>
      </c>
      <c r="B3" t="s">
        <v>370</v>
      </c>
      <c r="C3" t="s">
        <v>371</v>
      </c>
      <c r="D3" s="2" t="s">
        <v>45</v>
      </c>
      <c r="E3" s="2" t="s">
        <v>45</v>
      </c>
      <c r="F3" s="2" t="s">
        <v>45</v>
      </c>
      <c r="G3" s="2" t="s">
        <v>45</v>
      </c>
      <c r="H3" s="2" t="s">
        <v>45</v>
      </c>
      <c r="I3" s="2" t="s">
        <v>45</v>
      </c>
      <c r="J3" s="2" t="s">
        <v>45</v>
      </c>
    </row>
    <row r="4" spans="1:11">
      <c r="A4" t="s">
        <v>369</v>
      </c>
      <c r="B4" t="s">
        <v>372</v>
      </c>
      <c r="C4" t="s">
        <v>373</v>
      </c>
      <c r="D4" s="2" t="s">
        <v>45</v>
      </c>
      <c r="E4" s="2" t="s">
        <v>45</v>
      </c>
      <c r="F4" s="2" t="s">
        <v>45</v>
      </c>
      <c r="G4" s="2" t="s">
        <v>45</v>
      </c>
      <c r="H4" s="2" t="s">
        <v>45</v>
      </c>
      <c r="I4" s="2" t="s">
        <v>45</v>
      </c>
      <c r="J4" s="2" t="s">
        <v>45</v>
      </c>
    </row>
    <row r="5" spans="1:11">
      <c r="A5" t="s">
        <v>369</v>
      </c>
      <c r="B5" t="s">
        <v>374</v>
      </c>
      <c r="C5" t="s">
        <v>375</v>
      </c>
      <c r="D5" s="2" t="s">
        <v>45</v>
      </c>
      <c r="E5" s="2" t="s">
        <v>45</v>
      </c>
      <c r="F5" s="2" t="s">
        <v>45</v>
      </c>
      <c r="G5" s="2" t="s">
        <v>45</v>
      </c>
      <c r="H5" s="2" t="s">
        <v>45</v>
      </c>
      <c r="I5" s="2" t="s">
        <v>45</v>
      </c>
      <c r="J5" s="2" t="s">
        <v>45</v>
      </c>
    </row>
    <row r="6" spans="1:11">
      <c r="A6" t="s">
        <v>369</v>
      </c>
      <c r="B6" t="s">
        <v>376</v>
      </c>
      <c r="C6" t="s">
        <v>377</v>
      </c>
      <c r="D6" s="2" t="s">
        <v>45</v>
      </c>
      <c r="E6" s="2" t="s">
        <v>45</v>
      </c>
      <c r="F6" s="2" t="s">
        <v>45</v>
      </c>
      <c r="G6" s="2" t="s">
        <v>45</v>
      </c>
      <c r="H6" s="2" t="s">
        <v>45</v>
      </c>
      <c r="I6" s="2" t="s">
        <v>45</v>
      </c>
      <c r="J6" s="2" t="s">
        <v>45</v>
      </c>
    </row>
    <row r="7" spans="1:11">
      <c r="A7" t="s">
        <v>369</v>
      </c>
      <c r="B7" t="s">
        <v>378</v>
      </c>
      <c r="C7" t="s">
        <v>379</v>
      </c>
      <c r="D7" s="2" t="s">
        <v>45</v>
      </c>
      <c r="E7" s="2" t="s">
        <v>45</v>
      </c>
      <c r="F7" s="2" t="s">
        <v>45</v>
      </c>
      <c r="G7" s="2" t="s">
        <v>45</v>
      </c>
      <c r="H7" s="2" t="s">
        <v>45</v>
      </c>
      <c r="I7" s="2" t="s">
        <v>45</v>
      </c>
      <c r="J7" s="2" t="s">
        <v>45</v>
      </c>
    </row>
    <row r="8" spans="1:11">
      <c r="A8" t="s">
        <v>369</v>
      </c>
      <c r="B8" t="s">
        <v>380</v>
      </c>
      <c r="C8" t="s">
        <v>381</v>
      </c>
      <c r="D8" s="2" t="s">
        <v>45</v>
      </c>
      <c r="E8" s="2" t="s">
        <v>45</v>
      </c>
      <c r="F8" s="2" t="s">
        <v>45</v>
      </c>
      <c r="G8" s="2" t="s">
        <v>45</v>
      </c>
      <c r="H8" s="2" t="s">
        <v>45</v>
      </c>
      <c r="I8" s="2" t="s">
        <v>45</v>
      </c>
      <c r="J8" s="2" t="s">
        <v>45</v>
      </c>
    </row>
    <row r="9" spans="1:11">
      <c r="A9" t="s">
        <v>369</v>
      </c>
      <c r="B9" t="s">
        <v>382</v>
      </c>
      <c r="C9" t="s">
        <v>381</v>
      </c>
      <c r="D9" s="2" t="s">
        <v>45</v>
      </c>
      <c r="E9" s="2" t="s">
        <v>45</v>
      </c>
      <c r="F9" s="2" t="s">
        <v>45</v>
      </c>
      <c r="G9" s="2" t="s">
        <v>45</v>
      </c>
      <c r="H9" s="2" t="s">
        <v>45</v>
      </c>
      <c r="I9" s="2" t="s">
        <v>45</v>
      </c>
      <c r="J9" s="2" t="s">
        <v>45</v>
      </c>
    </row>
    <row r="10" spans="1:11">
      <c r="A10" t="s">
        <v>369</v>
      </c>
      <c r="B10" t="s">
        <v>383</v>
      </c>
      <c r="C10" t="s">
        <v>379</v>
      </c>
      <c r="D10" s="2" t="s">
        <v>45</v>
      </c>
      <c r="E10" s="2" t="s">
        <v>45</v>
      </c>
      <c r="F10" s="2" t="s">
        <v>45</v>
      </c>
      <c r="G10" s="2" t="s">
        <v>45</v>
      </c>
      <c r="H10" s="2" t="s">
        <v>45</v>
      </c>
      <c r="I10" s="2" t="s">
        <v>45</v>
      </c>
      <c r="J10" s="2" t="s">
        <v>45</v>
      </c>
    </row>
    <row r="11" spans="1:11">
      <c r="A11" t="s">
        <v>369</v>
      </c>
      <c r="B11" t="s">
        <v>384</v>
      </c>
      <c r="C11" t="s">
        <v>385</v>
      </c>
      <c r="D11" s="2" t="s">
        <v>45</v>
      </c>
      <c r="E11" s="2" t="s">
        <v>45</v>
      </c>
      <c r="F11" s="2" t="s">
        <v>45</v>
      </c>
      <c r="G11" s="2" t="s">
        <v>45</v>
      </c>
      <c r="H11" s="2" t="s">
        <v>45</v>
      </c>
      <c r="I11" s="2" t="s">
        <v>45</v>
      </c>
      <c r="J11" s="2" t="s">
        <v>45</v>
      </c>
    </row>
    <row r="12" spans="1:11">
      <c r="A12" t="s">
        <v>369</v>
      </c>
      <c r="B12" t="s">
        <v>386</v>
      </c>
      <c r="C12" t="s">
        <v>387</v>
      </c>
      <c r="D12" s="2" t="s">
        <v>45</v>
      </c>
      <c r="E12" s="2" t="s">
        <v>45</v>
      </c>
      <c r="F12" s="2" t="s">
        <v>45</v>
      </c>
      <c r="G12" s="2" t="s">
        <v>45</v>
      </c>
      <c r="H12" s="2" t="s">
        <v>45</v>
      </c>
      <c r="I12" s="2" t="s">
        <v>45</v>
      </c>
      <c r="J12" s="2" t="s">
        <v>45</v>
      </c>
    </row>
    <row r="13" spans="1:11">
      <c r="A13" t="s">
        <v>369</v>
      </c>
      <c r="B13" t="s">
        <v>388</v>
      </c>
      <c r="C13" t="s">
        <v>389</v>
      </c>
      <c r="D13" s="2" t="s">
        <v>45</v>
      </c>
      <c r="E13" s="2" t="s">
        <v>45</v>
      </c>
      <c r="F13" s="2" t="s">
        <v>45</v>
      </c>
      <c r="G13" s="2" t="s">
        <v>45</v>
      </c>
      <c r="H13" s="2" t="s">
        <v>45</v>
      </c>
      <c r="I13" s="2" t="s">
        <v>45</v>
      </c>
      <c r="J13" s="2" t="s">
        <v>45</v>
      </c>
    </row>
    <row r="14" spans="1:11">
      <c r="A14" t="s">
        <v>369</v>
      </c>
      <c r="B14" t="s">
        <v>390</v>
      </c>
      <c r="C14" t="s">
        <v>391</v>
      </c>
      <c r="D14" s="3" t="s">
        <v>392</v>
      </c>
      <c r="E14" s="3" t="s">
        <v>392</v>
      </c>
      <c r="F14" s="2" t="s">
        <v>45</v>
      </c>
      <c r="G14" s="3" t="s">
        <v>393</v>
      </c>
      <c r="H14" s="3" t="s">
        <v>393</v>
      </c>
      <c r="I14" s="3" t="s">
        <v>394</v>
      </c>
      <c r="J14" s="3" t="s">
        <v>394</v>
      </c>
      <c r="K14" t="s">
        <v>395</v>
      </c>
    </row>
    <row r="15" spans="1:11">
      <c r="A15" t="s">
        <v>369</v>
      </c>
      <c r="B15" t="s">
        <v>396</v>
      </c>
      <c r="C15" t="s">
        <v>397</v>
      </c>
      <c r="D15" s="2" t="s">
        <v>45</v>
      </c>
      <c r="E15" s="2" t="s">
        <v>45</v>
      </c>
      <c r="F15" s="2" t="s">
        <v>45</v>
      </c>
      <c r="G15" s="2" t="s">
        <v>45</v>
      </c>
      <c r="H15" s="2" t="s">
        <v>45</v>
      </c>
      <c r="I15" s="2" t="s">
        <v>45</v>
      </c>
      <c r="J15" s="2" t="s">
        <v>45</v>
      </c>
    </row>
    <row r="16" spans="1:11">
      <c r="A16" t="s">
        <v>369</v>
      </c>
      <c r="B16" t="s">
        <v>398</v>
      </c>
      <c r="C16" t="s">
        <v>399</v>
      </c>
      <c r="D16" s="2" t="s">
        <v>45</v>
      </c>
      <c r="E16" s="2" t="s">
        <v>45</v>
      </c>
      <c r="F16" s="2" t="s">
        <v>45</v>
      </c>
      <c r="G16" s="2" t="s">
        <v>45</v>
      </c>
      <c r="H16" s="2" t="s">
        <v>45</v>
      </c>
      <c r="I16" s="2" t="s">
        <v>45</v>
      </c>
      <c r="J16" s="2" t="s">
        <v>45</v>
      </c>
    </row>
    <row r="17" spans="1:11">
      <c r="A17" t="s">
        <v>369</v>
      </c>
      <c r="B17" t="s">
        <v>400</v>
      </c>
      <c r="C17" t="s">
        <v>399</v>
      </c>
      <c r="D17" s="2" t="s">
        <v>45</v>
      </c>
      <c r="E17" s="2" t="s">
        <v>45</v>
      </c>
      <c r="F17" s="2" t="s">
        <v>45</v>
      </c>
      <c r="G17" s="2" t="s">
        <v>45</v>
      </c>
      <c r="H17" s="2" t="s">
        <v>45</v>
      </c>
      <c r="I17" s="2" t="s">
        <v>45</v>
      </c>
      <c r="J17" s="2" t="s">
        <v>45</v>
      </c>
    </row>
    <row r="18" spans="1:11">
      <c r="A18" t="s">
        <v>369</v>
      </c>
      <c r="B18" t="s">
        <v>401</v>
      </c>
      <c r="C18" t="s">
        <v>402</v>
      </c>
      <c r="D18" s="2" t="s">
        <v>45</v>
      </c>
      <c r="E18" s="2" t="s">
        <v>45</v>
      </c>
      <c r="F18" s="2" t="s">
        <v>45</v>
      </c>
      <c r="G18" s="2" t="s">
        <v>45</v>
      </c>
      <c r="H18" s="2" t="s">
        <v>45</v>
      </c>
      <c r="I18" s="2" t="s">
        <v>45</v>
      </c>
      <c r="J18" s="2" t="s">
        <v>45</v>
      </c>
    </row>
    <row r="19" spans="1:11">
      <c r="A19" t="s">
        <v>369</v>
      </c>
      <c r="B19" t="s">
        <v>403</v>
      </c>
      <c r="C19" t="s">
        <v>379</v>
      </c>
      <c r="D19" s="2" t="s">
        <v>45</v>
      </c>
      <c r="E19" s="2" t="s">
        <v>45</v>
      </c>
      <c r="F19" s="2" t="s">
        <v>45</v>
      </c>
      <c r="G19" s="2" t="s">
        <v>45</v>
      </c>
      <c r="H19" s="2" t="s">
        <v>45</v>
      </c>
      <c r="I19" s="2" t="s">
        <v>45</v>
      </c>
      <c r="J19" s="2" t="s">
        <v>45</v>
      </c>
    </row>
    <row r="20" spans="1:11">
      <c r="A20" t="s">
        <v>369</v>
      </c>
      <c r="B20" t="s">
        <v>404</v>
      </c>
      <c r="C20" t="s">
        <v>379</v>
      </c>
      <c r="D20" s="2" t="s">
        <v>45</v>
      </c>
      <c r="E20" s="2" t="s">
        <v>45</v>
      </c>
      <c r="F20" s="2" t="s">
        <v>45</v>
      </c>
      <c r="G20" s="2" t="s">
        <v>45</v>
      </c>
      <c r="H20" s="2" t="s">
        <v>45</v>
      </c>
      <c r="I20" s="2" t="s">
        <v>45</v>
      </c>
      <c r="J20" s="2" t="s">
        <v>45</v>
      </c>
    </row>
    <row r="21" spans="1:11">
      <c r="A21" t="s">
        <v>369</v>
      </c>
      <c r="B21" t="s">
        <v>405</v>
      </c>
      <c r="C21" t="s">
        <v>379</v>
      </c>
      <c r="D21" s="2" t="s">
        <v>45</v>
      </c>
      <c r="E21" s="2" t="s">
        <v>45</v>
      </c>
      <c r="F21" s="2" t="s">
        <v>45</v>
      </c>
      <c r="G21" s="2" t="s">
        <v>45</v>
      </c>
      <c r="H21" s="2" t="s">
        <v>45</v>
      </c>
      <c r="I21" s="2" t="s">
        <v>45</v>
      </c>
      <c r="J21" s="2" t="s">
        <v>45</v>
      </c>
    </row>
    <row r="22" spans="1:11">
      <c r="A22" t="s">
        <v>369</v>
      </c>
      <c r="B22" t="s">
        <v>406</v>
      </c>
      <c r="C22" t="s">
        <v>407</v>
      </c>
      <c r="D22" s="2" t="s">
        <v>45</v>
      </c>
      <c r="E22" s="2" t="s">
        <v>45</v>
      </c>
      <c r="F22" s="2" t="s">
        <v>45</v>
      </c>
      <c r="G22" s="2" t="s">
        <v>45</v>
      </c>
      <c r="H22" s="2" t="s">
        <v>45</v>
      </c>
      <c r="I22" s="2" t="s">
        <v>45</v>
      </c>
      <c r="J22" s="2" t="s">
        <v>45</v>
      </c>
    </row>
    <row r="23" spans="1:11">
      <c r="A23" t="s">
        <v>369</v>
      </c>
      <c r="B23" t="s">
        <v>408</v>
      </c>
      <c r="C23" t="s">
        <v>407</v>
      </c>
      <c r="D23" s="2" t="s">
        <v>45</v>
      </c>
      <c r="E23" s="2" t="s">
        <v>45</v>
      </c>
      <c r="F23" s="2" t="s">
        <v>45</v>
      </c>
      <c r="G23" s="2" t="s">
        <v>45</v>
      </c>
      <c r="H23" s="2" t="s">
        <v>45</v>
      </c>
      <c r="I23" s="2" t="s">
        <v>45</v>
      </c>
      <c r="J23" s="2" t="s">
        <v>45</v>
      </c>
    </row>
    <row r="24" spans="1:11">
      <c r="A24" t="s">
        <v>369</v>
      </c>
      <c r="B24" t="s">
        <v>409</v>
      </c>
      <c r="C24" t="s">
        <v>379</v>
      </c>
      <c r="D24" s="2" t="s">
        <v>45</v>
      </c>
      <c r="E24" s="2" t="s">
        <v>45</v>
      </c>
      <c r="F24" s="2" t="s">
        <v>45</v>
      </c>
      <c r="G24" s="2" t="s">
        <v>45</v>
      </c>
      <c r="H24" s="2" t="s">
        <v>45</v>
      </c>
      <c r="I24" s="2" t="s">
        <v>45</v>
      </c>
      <c r="J24" s="2" t="s">
        <v>45</v>
      </c>
    </row>
    <row r="25" spans="1:11">
      <c r="A25" t="s">
        <v>369</v>
      </c>
      <c r="B25" t="s">
        <v>410</v>
      </c>
      <c r="C25" t="s">
        <v>411</v>
      </c>
      <c r="D25" s="2" t="s">
        <v>45</v>
      </c>
      <c r="E25" s="2" t="s">
        <v>45</v>
      </c>
      <c r="F25" s="2" t="s">
        <v>45</v>
      </c>
      <c r="G25" s="2" t="s">
        <v>45</v>
      </c>
      <c r="H25" s="2" t="s">
        <v>45</v>
      </c>
      <c r="I25" s="2" t="s">
        <v>45</v>
      </c>
      <c r="J25" s="2" t="s">
        <v>45</v>
      </c>
    </row>
    <row r="26" spans="1:11">
      <c r="A26" t="s">
        <v>369</v>
      </c>
      <c r="B26" t="s">
        <v>412</v>
      </c>
      <c r="C26" t="s">
        <v>413</v>
      </c>
      <c r="D26" s="2" t="s">
        <v>45</v>
      </c>
      <c r="E26" s="2" t="s">
        <v>45</v>
      </c>
      <c r="F26" s="2" t="s">
        <v>45</v>
      </c>
      <c r="G26" s="2" t="s">
        <v>45</v>
      </c>
      <c r="H26" s="2" t="s">
        <v>45</v>
      </c>
      <c r="I26" s="3" t="s">
        <v>414</v>
      </c>
      <c r="J26" s="3" t="s">
        <v>414</v>
      </c>
      <c r="K26" t="s">
        <v>395</v>
      </c>
    </row>
    <row r="27" spans="1:11">
      <c r="A27" t="s">
        <v>369</v>
      </c>
      <c r="B27" t="s">
        <v>415</v>
      </c>
      <c r="C27" t="s">
        <v>416</v>
      </c>
      <c r="D27" s="2" t="s">
        <v>45</v>
      </c>
      <c r="E27" s="2" t="s">
        <v>45</v>
      </c>
      <c r="F27" s="2" t="s">
        <v>45</v>
      </c>
      <c r="G27" s="2" t="s">
        <v>45</v>
      </c>
      <c r="H27" s="2" t="s">
        <v>45</v>
      </c>
      <c r="I27" s="2" t="s">
        <v>45</v>
      </c>
      <c r="J27" s="2" t="s">
        <v>45</v>
      </c>
    </row>
    <row r="28" spans="1:11">
      <c r="A28" t="s">
        <v>369</v>
      </c>
      <c r="B28" t="s">
        <v>417</v>
      </c>
      <c r="C28" t="s">
        <v>418</v>
      </c>
      <c r="D28" s="2" t="s">
        <v>45</v>
      </c>
      <c r="E28" s="2" t="s">
        <v>45</v>
      </c>
      <c r="F28" s="2" t="s">
        <v>45</v>
      </c>
      <c r="G28" s="2" t="s">
        <v>45</v>
      </c>
      <c r="H28" s="2" t="s">
        <v>45</v>
      </c>
      <c r="I28" s="2" t="s">
        <v>45</v>
      </c>
      <c r="J28" s="2" t="s">
        <v>45</v>
      </c>
    </row>
    <row r="29" spans="1:11">
      <c r="A29" t="s">
        <v>369</v>
      </c>
      <c r="B29" t="s">
        <v>419</v>
      </c>
      <c r="C29" t="s">
        <v>420</v>
      </c>
      <c r="D29" s="2" t="s">
        <v>45</v>
      </c>
      <c r="E29" s="2" t="s">
        <v>45</v>
      </c>
      <c r="F29" s="2" t="s">
        <v>45</v>
      </c>
      <c r="G29" s="2" t="s">
        <v>45</v>
      </c>
      <c r="H29" s="2" t="s">
        <v>45</v>
      </c>
      <c r="I29" s="2" t="s">
        <v>45</v>
      </c>
      <c r="J29" s="2" t="s">
        <v>45</v>
      </c>
    </row>
    <row r="30" spans="1:11">
      <c r="A30" t="s">
        <v>369</v>
      </c>
      <c r="B30" t="s">
        <v>421</v>
      </c>
      <c r="C30" t="s">
        <v>422</v>
      </c>
      <c r="D30" s="2" t="s">
        <v>45</v>
      </c>
      <c r="E30" s="2" t="s">
        <v>45</v>
      </c>
      <c r="F30" s="2" t="s">
        <v>45</v>
      </c>
      <c r="G30" s="2" t="s">
        <v>45</v>
      </c>
      <c r="H30" s="2" t="s">
        <v>45</v>
      </c>
      <c r="I30" s="2" t="s">
        <v>45</v>
      </c>
      <c r="J30" s="2" t="s">
        <v>45</v>
      </c>
    </row>
    <row r="31" spans="1:11">
      <c r="A31" t="s">
        <v>369</v>
      </c>
      <c r="B31" t="s">
        <v>423</v>
      </c>
      <c r="C31" t="s">
        <v>424</v>
      </c>
      <c r="D31" s="2" t="s">
        <v>45</v>
      </c>
      <c r="E31" s="2" t="s">
        <v>45</v>
      </c>
      <c r="F31" s="2" t="s">
        <v>45</v>
      </c>
      <c r="G31" s="2" t="s">
        <v>45</v>
      </c>
      <c r="H31" s="2" t="s">
        <v>45</v>
      </c>
      <c r="I31" s="2" t="s">
        <v>45</v>
      </c>
      <c r="J31" s="2" t="s">
        <v>45</v>
      </c>
    </row>
    <row r="32" spans="1:11">
      <c r="A32" t="s">
        <v>369</v>
      </c>
      <c r="B32" t="s">
        <v>425</v>
      </c>
      <c r="C32" t="s">
        <v>424</v>
      </c>
      <c r="D32" s="2" t="s">
        <v>45</v>
      </c>
      <c r="E32" s="2" t="s">
        <v>45</v>
      </c>
      <c r="F32" s="2" t="s">
        <v>45</v>
      </c>
      <c r="G32" s="2" t="s">
        <v>45</v>
      </c>
      <c r="H32" s="2" t="s">
        <v>45</v>
      </c>
      <c r="I32" s="2" t="s">
        <v>45</v>
      </c>
      <c r="J32" s="2" t="s">
        <v>45</v>
      </c>
    </row>
    <row r="33" spans="1:10">
      <c r="A33" t="s">
        <v>369</v>
      </c>
      <c r="B33" t="s">
        <v>426</v>
      </c>
      <c r="C33" t="s">
        <v>427</v>
      </c>
      <c r="D33" s="2" t="s">
        <v>45</v>
      </c>
      <c r="E33" s="2" t="s">
        <v>45</v>
      </c>
      <c r="F33" s="2" t="s">
        <v>45</v>
      </c>
      <c r="G33" s="2" t="s">
        <v>45</v>
      </c>
      <c r="H33" s="2" t="s">
        <v>45</v>
      </c>
      <c r="I33" s="2" t="s">
        <v>45</v>
      </c>
      <c r="J33" s="2" t="s">
        <v>45</v>
      </c>
    </row>
    <row r="34" spans="1:10">
      <c r="A34" t="s">
        <v>369</v>
      </c>
      <c r="B34" t="s">
        <v>428</v>
      </c>
      <c r="C34" t="s">
        <v>429</v>
      </c>
      <c r="D34" s="2" t="s">
        <v>45</v>
      </c>
      <c r="E34" s="2" t="s">
        <v>45</v>
      </c>
      <c r="F34" s="2" t="s">
        <v>45</v>
      </c>
      <c r="G34" s="2" t="s">
        <v>45</v>
      </c>
      <c r="H34" s="2" t="s">
        <v>45</v>
      </c>
      <c r="I34" s="2" t="s">
        <v>45</v>
      </c>
      <c r="J34" s="2" t="s">
        <v>45</v>
      </c>
    </row>
    <row r="35" spans="1:10">
      <c r="A35" t="s">
        <v>369</v>
      </c>
      <c r="B35" t="s">
        <v>430</v>
      </c>
      <c r="C35" t="s">
        <v>431</v>
      </c>
      <c r="D35" s="2" t="s">
        <v>45</v>
      </c>
      <c r="E35" s="2" t="s">
        <v>45</v>
      </c>
      <c r="F35" s="2" t="s">
        <v>45</v>
      </c>
      <c r="G35" s="2" t="s">
        <v>45</v>
      </c>
      <c r="H35" s="2" t="s">
        <v>45</v>
      </c>
      <c r="I35" s="2" t="s">
        <v>45</v>
      </c>
      <c r="J35" s="2" t="s">
        <v>45</v>
      </c>
    </row>
    <row r="36" spans="1:10">
      <c r="A36" t="s">
        <v>369</v>
      </c>
      <c r="B36" t="s">
        <v>432</v>
      </c>
      <c r="C36" t="s">
        <v>433</v>
      </c>
      <c r="D36" s="2" t="s">
        <v>45</v>
      </c>
      <c r="E36" s="2" t="s">
        <v>45</v>
      </c>
      <c r="F36" s="2" t="s">
        <v>45</v>
      </c>
      <c r="G36" s="2" t="s">
        <v>45</v>
      </c>
      <c r="H36" s="2" t="s">
        <v>45</v>
      </c>
      <c r="I36" s="2" t="s">
        <v>45</v>
      </c>
      <c r="J36" s="2" t="s">
        <v>45</v>
      </c>
    </row>
    <row r="37" spans="1:10">
      <c r="A37" t="s">
        <v>369</v>
      </c>
      <c r="B37" t="s">
        <v>434</v>
      </c>
      <c r="C37" t="s">
        <v>435</v>
      </c>
      <c r="D37" s="2" t="s">
        <v>45</v>
      </c>
      <c r="E37" s="2" t="s">
        <v>45</v>
      </c>
      <c r="F37" s="2" t="s">
        <v>45</v>
      </c>
      <c r="G37" s="2" t="s">
        <v>45</v>
      </c>
      <c r="H37" s="2" t="s">
        <v>45</v>
      </c>
      <c r="I37" s="2" t="s">
        <v>45</v>
      </c>
      <c r="J37" s="2" t="s">
        <v>45</v>
      </c>
    </row>
    <row r="38" spans="1:10">
      <c r="A38" t="s">
        <v>369</v>
      </c>
      <c r="B38" t="s">
        <v>436</v>
      </c>
      <c r="C38" t="s">
        <v>437</v>
      </c>
      <c r="D38" s="2" t="s">
        <v>45</v>
      </c>
      <c r="E38" s="2" t="s">
        <v>45</v>
      </c>
      <c r="F38" s="2" t="s">
        <v>45</v>
      </c>
      <c r="G38" s="2" t="s">
        <v>45</v>
      </c>
      <c r="H38" s="2" t="s">
        <v>45</v>
      </c>
      <c r="I38" s="2" t="s">
        <v>45</v>
      </c>
      <c r="J38" s="2" t="s">
        <v>45</v>
      </c>
    </row>
    <row r="39" spans="1:10">
      <c r="A39" t="s">
        <v>369</v>
      </c>
      <c r="B39" t="s">
        <v>438</v>
      </c>
      <c r="C39" t="s">
        <v>439</v>
      </c>
      <c r="D39" s="2" t="s">
        <v>45</v>
      </c>
      <c r="E39" s="2" t="s">
        <v>45</v>
      </c>
      <c r="F39" s="2" t="s">
        <v>45</v>
      </c>
      <c r="G39" s="2" t="s">
        <v>45</v>
      </c>
      <c r="H39" s="2" t="s">
        <v>45</v>
      </c>
      <c r="I39" s="2" t="s">
        <v>45</v>
      </c>
      <c r="J39" s="2" t="s">
        <v>45</v>
      </c>
    </row>
    <row r="40" spans="1:10">
      <c r="A40" t="s">
        <v>369</v>
      </c>
      <c r="B40" t="s">
        <v>440</v>
      </c>
      <c r="C40" t="s">
        <v>441</v>
      </c>
      <c r="D40" s="2" t="s">
        <v>45</v>
      </c>
      <c r="E40" s="2" t="s">
        <v>45</v>
      </c>
      <c r="F40" s="2" t="s">
        <v>45</v>
      </c>
      <c r="G40" s="2" t="s">
        <v>45</v>
      </c>
      <c r="H40" s="2" t="s">
        <v>45</v>
      </c>
      <c r="I40" s="2" t="s">
        <v>45</v>
      </c>
      <c r="J40" s="2" t="s">
        <v>45</v>
      </c>
    </row>
    <row r="41" spans="1:10">
      <c r="A41" t="s">
        <v>369</v>
      </c>
      <c r="B41" t="s">
        <v>442</v>
      </c>
      <c r="C41" t="s">
        <v>443</v>
      </c>
      <c r="D41" s="2" t="s">
        <v>45</v>
      </c>
      <c r="E41" s="2" t="s">
        <v>45</v>
      </c>
      <c r="F41" s="2" t="s">
        <v>45</v>
      </c>
      <c r="G41" s="2" t="s">
        <v>45</v>
      </c>
      <c r="H41" s="2" t="s">
        <v>45</v>
      </c>
      <c r="I41" s="2" t="s">
        <v>45</v>
      </c>
      <c r="J41" s="2" t="s">
        <v>45</v>
      </c>
    </row>
    <row r="42" spans="1:10">
      <c r="A42" t="s">
        <v>369</v>
      </c>
      <c r="B42" t="s">
        <v>444</v>
      </c>
      <c r="C42" t="s">
        <v>445</v>
      </c>
      <c r="D42" s="2" t="s">
        <v>45</v>
      </c>
      <c r="E42" s="2" t="s">
        <v>45</v>
      </c>
      <c r="F42" s="2" t="s">
        <v>45</v>
      </c>
      <c r="G42" s="2" t="s">
        <v>45</v>
      </c>
      <c r="H42" s="2" t="s">
        <v>45</v>
      </c>
      <c r="I42" s="2" t="s">
        <v>45</v>
      </c>
      <c r="J42" s="2" t="s">
        <v>45</v>
      </c>
    </row>
    <row r="43" spans="1:10">
      <c r="A43" t="s">
        <v>369</v>
      </c>
      <c r="B43" t="s">
        <v>446</v>
      </c>
      <c r="C43" t="s">
        <v>379</v>
      </c>
      <c r="D43" s="2" t="s">
        <v>45</v>
      </c>
      <c r="E43" s="2" t="s">
        <v>45</v>
      </c>
      <c r="F43" s="2" t="s">
        <v>45</v>
      </c>
      <c r="G43" s="2" t="s">
        <v>45</v>
      </c>
      <c r="H43" s="2" t="s">
        <v>45</v>
      </c>
      <c r="I43" s="2" t="s">
        <v>45</v>
      </c>
      <c r="J43" s="2" t="s">
        <v>45</v>
      </c>
    </row>
    <row r="44" spans="1:10">
      <c r="A44" t="s">
        <v>369</v>
      </c>
      <c r="B44" t="s">
        <v>447</v>
      </c>
      <c r="C44" t="s">
        <v>379</v>
      </c>
      <c r="D44" s="2" t="s">
        <v>45</v>
      </c>
      <c r="E44" s="2" t="s">
        <v>45</v>
      </c>
      <c r="F44" s="2" t="s">
        <v>45</v>
      </c>
      <c r="G44" s="2" t="s">
        <v>45</v>
      </c>
      <c r="H44" s="2" t="s">
        <v>45</v>
      </c>
      <c r="I44" s="2" t="s">
        <v>45</v>
      </c>
      <c r="J44" s="2" t="s">
        <v>45</v>
      </c>
    </row>
    <row r="45" spans="1:10">
      <c r="A45" t="s">
        <v>369</v>
      </c>
      <c r="B45" t="s">
        <v>448</v>
      </c>
      <c r="C45" t="s">
        <v>379</v>
      </c>
      <c r="D45" s="2" t="s">
        <v>45</v>
      </c>
      <c r="E45" s="2" t="s">
        <v>45</v>
      </c>
      <c r="F45" s="2" t="s">
        <v>45</v>
      </c>
      <c r="G45" s="2" t="s">
        <v>45</v>
      </c>
      <c r="H45" s="2" t="s">
        <v>45</v>
      </c>
      <c r="I45" s="2" t="s">
        <v>45</v>
      </c>
      <c r="J45" s="2" t="s">
        <v>45</v>
      </c>
    </row>
    <row r="46" spans="1:10">
      <c r="A46" t="s">
        <v>369</v>
      </c>
      <c r="B46" t="s">
        <v>449</v>
      </c>
      <c r="C46" t="s">
        <v>379</v>
      </c>
      <c r="D46" s="2" t="s">
        <v>45</v>
      </c>
      <c r="E46" s="2" t="s">
        <v>45</v>
      </c>
      <c r="F46" s="2" t="s">
        <v>45</v>
      </c>
      <c r="G46" s="2" t="s">
        <v>45</v>
      </c>
      <c r="H46" s="2" t="s">
        <v>45</v>
      </c>
      <c r="I46" s="2" t="s">
        <v>45</v>
      </c>
      <c r="J46" s="2" t="s">
        <v>45</v>
      </c>
    </row>
    <row r="47" spans="1:10">
      <c r="A47" t="s">
        <v>369</v>
      </c>
      <c r="B47" t="s">
        <v>450</v>
      </c>
      <c r="C47" t="s">
        <v>451</v>
      </c>
      <c r="D47" s="2" t="s">
        <v>45</v>
      </c>
      <c r="E47" s="2" t="s">
        <v>45</v>
      </c>
      <c r="F47" s="2" t="s">
        <v>45</v>
      </c>
      <c r="G47" s="2" t="s">
        <v>45</v>
      </c>
      <c r="H47" s="2" t="s">
        <v>45</v>
      </c>
      <c r="I47" s="2" t="s">
        <v>45</v>
      </c>
      <c r="J47" s="2" t="s">
        <v>45</v>
      </c>
    </row>
    <row r="48" spans="1:10">
      <c r="A48" t="s">
        <v>369</v>
      </c>
      <c r="B48" t="s">
        <v>452</v>
      </c>
      <c r="C48" t="s">
        <v>379</v>
      </c>
      <c r="D48" s="2" t="s">
        <v>45</v>
      </c>
      <c r="E48" s="2" t="s">
        <v>45</v>
      </c>
      <c r="F48" s="2" t="s">
        <v>45</v>
      </c>
      <c r="G48" s="2" t="s">
        <v>45</v>
      </c>
      <c r="H48" s="2" t="s">
        <v>45</v>
      </c>
      <c r="I48" s="2" t="s">
        <v>45</v>
      </c>
      <c r="J48" s="2" t="s">
        <v>45</v>
      </c>
    </row>
    <row r="49" spans="1:10">
      <c r="A49" t="s">
        <v>369</v>
      </c>
      <c r="B49" t="s">
        <v>453</v>
      </c>
      <c r="C49" t="s">
        <v>454</v>
      </c>
      <c r="D49" s="2" t="s">
        <v>45</v>
      </c>
      <c r="E49" s="2" t="s">
        <v>45</v>
      </c>
      <c r="F49" s="2" t="s">
        <v>45</v>
      </c>
      <c r="G49" s="2" t="s">
        <v>45</v>
      </c>
      <c r="H49" s="2" t="s">
        <v>45</v>
      </c>
      <c r="I49" s="2" t="s">
        <v>45</v>
      </c>
      <c r="J49" s="2" t="s">
        <v>45</v>
      </c>
    </row>
    <row r="50" spans="1:10">
      <c r="A50" t="s">
        <v>369</v>
      </c>
      <c r="B50" t="s">
        <v>455</v>
      </c>
      <c r="C50" t="s">
        <v>454</v>
      </c>
      <c r="D50" s="2" t="s">
        <v>45</v>
      </c>
      <c r="E50" s="2" t="s">
        <v>45</v>
      </c>
      <c r="F50" s="2" t="s">
        <v>45</v>
      </c>
      <c r="G50" s="2" t="s">
        <v>45</v>
      </c>
      <c r="H50" s="2" t="s">
        <v>45</v>
      </c>
      <c r="I50" s="2" t="s">
        <v>45</v>
      </c>
      <c r="J50" s="2" t="s">
        <v>45</v>
      </c>
    </row>
    <row r="51" spans="1:10">
      <c r="A51" t="s">
        <v>369</v>
      </c>
      <c r="B51" t="s">
        <v>456</v>
      </c>
      <c r="C51" t="s">
        <v>454</v>
      </c>
      <c r="D51" s="2" t="s">
        <v>45</v>
      </c>
      <c r="E51" s="2" t="s">
        <v>45</v>
      </c>
      <c r="F51" s="2" t="s">
        <v>45</v>
      </c>
      <c r="G51" s="2" t="s">
        <v>45</v>
      </c>
      <c r="H51" s="2" t="s">
        <v>45</v>
      </c>
      <c r="I51" s="2" t="s">
        <v>45</v>
      </c>
      <c r="J51" s="2" t="s">
        <v>45</v>
      </c>
    </row>
    <row r="52" spans="1:10">
      <c r="A52" t="s">
        <v>369</v>
      </c>
      <c r="B52" t="s">
        <v>457</v>
      </c>
      <c r="C52" t="s">
        <v>454</v>
      </c>
      <c r="D52" s="2" t="s">
        <v>45</v>
      </c>
      <c r="E52" s="2" t="s">
        <v>45</v>
      </c>
      <c r="F52" s="2" t="s">
        <v>45</v>
      </c>
      <c r="G52" s="2" t="s">
        <v>45</v>
      </c>
      <c r="H52" s="2" t="s">
        <v>45</v>
      </c>
      <c r="I52" s="2" t="s">
        <v>45</v>
      </c>
      <c r="J52" s="2" t="s">
        <v>45</v>
      </c>
    </row>
    <row r="53" spans="1:10">
      <c r="A53" t="s">
        <v>369</v>
      </c>
      <c r="B53" t="s">
        <v>458</v>
      </c>
      <c r="C53" t="s">
        <v>379</v>
      </c>
      <c r="D53" s="2" t="s">
        <v>45</v>
      </c>
      <c r="E53" s="2" t="s">
        <v>45</v>
      </c>
      <c r="F53" s="2" t="s">
        <v>45</v>
      </c>
      <c r="G53" s="2" t="s">
        <v>45</v>
      </c>
      <c r="H53" s="2" t="s">
        <v>45</v>
      </c>
      <c r="I53" s="2" t="s">
        <v>45</v>
      </c>
      <c r="J53" s="2" t="s">
        <v>45</v>
      </c>
    </row>
    <row r="54" spans="1:10">
      <c r="A54" t="s">
        <v>369</v>
      </c>
      <c r="B54" t="s">
        <v>459</v>
      </c>
      <c r="C54" t="s">
        <v>460</v>
      </c>
      <c r="D54" s="2" t="s">
        <v>45</v>
      </c>
      <c r="E54" s="2" t="s">
        <v>45</v>
      </c>
      <c r="F54" s="2" t="s">
        <v>45</v>
      </c>
      <c r="G54" s="2" t="s">
        <v>45</v>
      </c>
      <c r="H54" s="2" t="s">
        <v>45</v>
      </c>
      <c r="I54" s="2" t="s">
        <v>45</v>
      </c>
      <c r="J54" s="2" t="s">
        <v>45</v>
      </c>
    </row>
    <row r="55" spans="1:10">
      <c r="A55" t="s">
        <v>369</v>
      </c>
      <c r="B55" t="s">
        <v>461</v>
      </c>
      <c r="C55" t="s">
        <v>462</v>
      </c>
      <c r="D55" s="2" t="s">
        <v>45</v>
      </c>
      <c r="E55" s="2" t="s">
        <v>45</v>
      </c>
      <c r="F55" s="2" t="s">
        <v>45</v>
      </c>
      <c r="G55" s="2" t="s">
        <v>45</v>
      </c>
      <c r="H55" s="2" t="s">
        <v>45</v>
      </c>
      <c r="I55" s="2" t="s">
        <v>45</v>
      </c>
      <c r="J55" s="2" t="s">
        <v>45</v>
      </c>
    </row>
    <row r="56" spans="1:10">
      <c r="A56" t="s">
        <v>369</v>
      </c>
      <c r="B56" t="s">
        <v>463</v>
      </c>
      <c r="C56" t="s">
        <v>464</v>
      </c>
      <c r="D56" s="2" t="s">
        <v>45</v>
      </c>
      <c r="E56" s="2" t="s">
        <v>45</v>
      </c>
      <c r="F56" s="2" t="s">
        <v>45</v>
      </c>
      <c r="G56" s="2" t="s">
        <v>45</v>
      </c>
      <c r="H56" s="2" t="s">
        <v>45</v>
      </c>
      <c r="I56" s="2" t="s">
        <v>45</v>
      </c>
      <c r="J56" s="2" t="s">
        <v>45</v>
      </c>
    </row>
    <row r="57" spans="1:10">
      <c r="A57" t="s">
        <v>369</v>
      </c>
      <c r="B57" t="s">
        <v>465</v>
      </c>
      <c r="C57" t="s">
        <v>466</v>
      </c>
      <c r="D57" s="2" t="s">
        <v>45</v>
      </c>
      <c r="E57" s="2" t="s">
        <v>45</v>
      </c>
      <c r="F57" s="2" t="s">
        <v>45</v>
      </c>
      <c r="G57" s="2" t="s">
        <v>45</v>
      </c>
      <c r="H57" s="2" t="s">
        <v>45</v>
      </c>
      <c r="I57" s="2" t="s">
        <v>45</v>
      </c>
      <c r="J57" s="2" t="s">
        <v>45</v>
      </c>
    </row>
    <row r="58" spans="1:10">
      <c r="A58" t="s">
        <v>369</v>
      </c>
      <c r="B58" t="s">
        <v>467</v>
      </c>
      <c r="C58" t="s">
        <v>468</v>
      </c>
      <c r="D58" s="2" t="s">
        <v>45</v>
      </c>
      <c r="E58" s="2" t="s">
        <v>45</v>
      </c>
      <c r="F58" s="2" t="s">
        <v>45</v>
      </c>
      <c r="G58" s="2" t="s">
        <v>45</v>
      </c>
      <c r="H58" s="2" t="s">
        <v>45</v>
      </c>
      <c r="I58" s="2" t="s">
        <v>45</v>
      </c>
      <c r="J58" s="2" t="s">
        <v>45</v>
      </c>
    </row>
    <row r="59" spans="1:10">
      <c r="A59" t="s">
        <v>369</v>
      </c>
      <c r="B59" t="s">
        <v>469</v>
      </c>
      <c r="C59" t="s">
        <v>470</v>
      </c>
      <c r="D59" s="2" t="s">
        <v>45</v>
      </c>
      <c r="E59" s="2" t="s">
        <v>45</v>
      </c>
      <c r="F59" s="2" t="s">
        <v>45</v>
      </c>
      <c r="G59" s="2" t="s">
        <v>45</v>
      </c>
      <c r="H59" s="2" t="s">
        <v>45</v>
      </c>
      <c r="I59" s="2" t="s">
        <v>45</v>
      </c>
      <c r="J59" s="2" t="s">
        <v>45</v>
      </c>
    </row>
    <row r="60" spans="1:10">
      <c r="A60" t="s">
        <v>369</v>
      </c>
      <c r="B60" t="s">
        <v>471</v>
      </c>
      <c r="C60" t="s">
        <v>379</v>
      </c>
      <c r="D60" s="2" t="s">
        <v>45</v>
      </c>
      <c r="E60" s="2" t="s">
        <v>45</v>
      </c>
      <c r="F60" s="2" t="s">
        <v>45</v>
      </c>
      <c r="G60" s="2" t="s">
        <v>45</v>
      </c>
      <c r="H60" s="2" t="s">
        <v>45</v>
      </c>
      <c r="I60" s="2" t="s">
        <v>45</v>
      </c>
      <c r="J60" s="2" t="s">
        <v>45</v>
      </c>
    </row>
    <row r="61" spans="1:10">
      <c r="A61" t="s">
        <v>369</v>
      </c>
      <c r="B61" t="s">
        <v>472</v>
      </c>
      <c r="C61" t="s">
        <v>473</v>
      </c>
      <c r="D61" s="2" t="s">
        <v>45</v>
      </c>
      <c r="E61" s="2" t="s">
        <v>45</v>
      </c>
      <c r="F61" s="2" t="s">
        <v>45</v>
      </c>
      <c r="G61" s="2" t="s">
        <v>45</v>
      </c>
      <c r="H61" s="2" t="s">
        <v>45</v>
      </c>
      <c r="I61" s="2" t="s">
        <v>45</v>
      </c>
      <c r="J61" s="2" t="s">
        <v>45</v>
      </c>
    </row>
    <row r="62" spans="1:10">
      <c r="A62" t="s">
        <v>369</v>
      </c>
      <c r="B62" t="s">
        <v>474</v>
      </c>
      <c r="C62" t="s">
        <v>475</v>
      </c>
      <c r="D62" s="2" t="s">
        <v>45</v>
      </c>
      <c r="E62" s="2" t="s">
        <v>45</v>
      </c>
      <c r="F62" s="2" t="s">
        <v>45</v>
      </c>
      <c r="G62" s="2" t="s">
        <v>45</v>
      </c>
      <c r="H62" s="2" t="s">
        <v>45</v>
      </c>
      <c r="I62" s="2" t="s">
        <v>45</v>
      </c>
      <c r="J62" s="2" t="s">
        <v>45</v>
      </c>
    </row>
    <row r="63" spans="1:10">
      <c r="A63" t="s">
        <v>369</v>
      </c>
      <c r="B63" t="s">
        <v>476</v>
      </c>
      <c r="C63" t="s">
        <v>477</v>
      </c>
      <c r="D63" s="2" t="s">
        <v>45</v>
      </c>
      <c r="E63" s="2" t="s">
        <v>45</v>
      </c>
      <c r="F63" s="2" t="s">
        <v>45</v>
      </c>
      <c r="G63" s="2" t="s">
        <v>45</v>
      </c>
      <c r="H63" s="2" t="s">
        <v>45</v>
      </c>
      <c r="I63" s="2" t="s">
        <v>45</v>
      </c>
      <c r="J63" s="2" t="s">
        <v>45</v>
      </c>
    </row>
    <row r="64" spans="1:10">
      <c r="A64" t="s">
        <v>369</v>
      </c>
      <c r="B64" t="s">
        <v>478</v>
      </c>
      <c r="C64" t="s">
        <v>479</v>
      </c>
      <c r="D64" s="2" t="s">
        <v>45</v>
      </c>
      <c r="E64" s="2" t="s">
        <v>45</v>
      </c>
      <c r="F64" s="2" t="s">
        <v>45</v>
      </c>
      <c r="G64" s="2" t="s">
        <v>45</v>
      </c>
      <c r="H64" s="2" t="s">
        <v>45</v>
      </c>
      <c r="I64" s="2" t="s">
        <v>45</v>
      </c>
      <c r="J64" s="2" t="s">
        <v>45</v>
      </c>
    </row>
    <row r="65" spans="1:10">
      <c r="A65" t="s">
        <v>369</v>
      </c>
      <c r="B65" t="s">
        <v>480</v>
      </c>
      <c r="C65" t="s">
        <v>481</v>
      </c>
      <c r="D65" s="2" t="s">
        <v>45</v>
      </c>
      <c r="E65" s="2" t="s">
        <v>45</v>
      </c>
      <c r="F65" s="2" t="s">
        <v>45</v>
      </c>
      <c r="G65" s="2" t="s">
        <v>45</v>
      </c>
      <c r="H65" s="2" t="s">
        <v>45</v>
      </c>
      <c r="I65" s="2" t="s">
        <v>45</v>
      </c>
      <c r="J65" s="2" t="s">
        <v>45</v>
      </c>
    </row>
    <row r="66" spans="1:10">
      <c r="A66" t="s">
        <v>369</v>
      </c>
      <c r="B66" t="s">
        <v>482</v>
      </c>
      <c r="C66" t="s">
        <v>483</v>
      </c>
      <c r="D66" s="2" t="s">
        <v>45</v>
      </c>
      <c r="E66" s="2" t="s">
        <v>45</v>
      </c>
      <c r="F66" s="2" t="s">
        <v>45</v>
      </c>
      <c r="G66" s="2" t="s">
        <v>45</v>
      </c>
      <c r="H66" s="2" t="s">
        <v>45</v>
      </c>
      <c r="I66" s="2" t="s">
        <v>45</v>
      </c>
      <c r="J66" s="2" t="s">
        <v>45</v>
      </c>
    </row>
    <row r="67" spans="1:10">
      <c r="A67" t="s">
        <v>369</v>
      </c>
      <c r="B67" t="s">
        <v>484</v>
      </c>
      <c r="C67" t="s">
        <v>485</v>
      </c>
      <c r="D67" s="2" t="s">
        <v>45</v>
      </c>
      <c r="E67" s="2" t="s">
        <v>45</v>
      </c>
      <c r="F67" s="2" t="s">
        <v>45</v>
      </c>
      <c r="G67" s="2" t="s">
        <v>45</v>
      </c>
      <c r="H67" s="2" t="s">
        <v>45</v>
      </c>
      <c r="I67" s="2" t="s">
        <v>45</v>
      </c>
      <c r="J67" s="2" t="s">
        <v>45</v>
      </c>
    </row>
    <row r="68" spans="1:10">
      <c r="A68" t="s">
        <v>369</v>
      </c>
      <c r="B68" t="s">
        <v>486</v>
      </c>
      <c r="C68" t="s">
        <v>487</v>
      </c>
      <c r="D68" s="2" t="s">
        <v>45</v>
      </c>
      <c r="E68" s="2" t="s">
        <v>45</v>
      </c>
      <c r="F68" s="2" t="s">
        <v>45</v>
      </c>
      <c r="G68" s="2" t="s">
        <v>45</v>
      </c>
      <c r="H68" s="2" t="s">
        <v>45</v>
      </c>
      <c r="I68" s="2" t="s">
        <v>45</v>
      </c>
      <c r="J68" s="2" t="s">
        <v>45</v>
      </c>
    </row>
    <row r="69" spans="1:10">
      <c r="A69" t="s">
        <v>369</v>
      </c>
      <c r="B69" t="s">
        <v>488</v>
      </c>
      <c r="C69" t="s">
        <v>379</v>
      </c>
      <c r="D69" s="2" t="s">
        <v>45</v>
      </c>
      <c r="E69" s="2" t="s">
        <v>45</v>
      </c>
      <c r="F69" s="2" t="s">
        <v>45</v>
      </c>
      <c r="G69" s="2" t="s">
        <v>45</v>
      </c>
      <c r="H69" s="2" t="s">
        <v>45</v>
      </c>
      <c r="I69" s="2" t="s">
        <v>45</v>
      </c>
      <c r="J69" s="2" t="s">
        <v>45</v>
      </c>
    </row>
    <row r="70" spans="1:10">
      <c r="A70" t="s">
        <v>369</v>
      </c>
      <c r="B70" t="s">
        <v>489</v>
      </c>
      <c r="C70" t="s">
        <v>490</v>
      </c>
      <c r="D70" s="2" t="s">
        <v>45</v>
      </c>
      <c r="E70" s="2" t="s">
        <v>45</v>
      </c>
      <c r="F70" s="2" t="s">
        <v>45</v>
      </c>
      <c r="G70" s="2" t="s">
        <v>45</v>
      </c>
      <c r="H70" s="2" t="s">
        <v>45</v>
      </c>
      <c r="I70" s="2" t="s">
        <v>45</v>
      </c>
      <c r="J70" s="2" t="s">
        <v>45</v>
      </c>
    </row>
    <row r="71" spans="1:10">
      <c r="A71" t="s">
        <v>369</v>
      </c>
      <c r="B71" t="s">
        <v>491</v>
      </c>
      <c r="C71" t="s">
        <v>492</v>
      </c>
      <c r="D71" s="2" t="s">
        <v>45</v>
      </c>
      <c r="E71" s="2" t="s">
        <v>45</v>
      </c>
      <c r="F71" s="2" t="s">
        <v>45</v>
      </c>
      <c r="G71" s="2" t="s">
        <v>45</v>
      </c>
      <c r="H71" s="2" t="s">
        <v>45</v>
      </c>
      <c r="I71" s="2" t="s">
        <v>45</v>
      </c>
      <c r="J71" s="2" t="s">
        <v>45</v>
      </c>
    </row>
    <row r="72" spans="1:10">
      <c r="A72" t="s">
        <v>369</v>
      </c>
      <c r="B72" t="s">
        <v>493</v>
      </c>
      <c r="C72" t="s">
        <v>494</v>
      </c>
      <c r="D72" s="2" t="s">
        <v>45</v>
      </c>
      <c r="E72" s="2" t="s">
        <v>45</v>
      </c>
      <c r="F72" s="2" t="s">
        <v>45</v>
      </c>
      <c r="G72" s="2" t="s">
        <v>45</v>
      </c>
      <c r="H72" s="2" t="s">
        <v>45</v>
      </c>
      <c r="I72" s="2" t="s">
        <v>45</v>
      </c>
      <c r="J72" s="2" t="s">
        <v>45</v>
      </c>
    </row>
    <row r="73" spans="1:10">
      <c r="A73" t="s">
        <v>369</v>
      </c>
      <c r="B73" t="s">
        <v>495</v>
      </c>
      <c r="C73" t="s">
        <v>496</v>
      </c>
      <c r="D73" s="2" t="s">
        <v>45</v>
      </c>
      <c r="E73" s="2" t="s">
        <v>45</v>
      </c>
      <c r="F73" s="2" t="s">
        <v>45</v>
      </c>
      <c r="G73" s="2" t="s">
        <v>45</v>
      </c>
      <c r="H73" s="2" t="s">
        <v>45</v>
      </c>
      <c r="I73" s="2" t="s">
        <v>45</v>
      </c>
      <c r="J73" s="2" t="s">
        <v>45</v>
      </c>
    </row>
    <row r="74" spans="1:10">
      <c r="A74" t="s">
        <v>369</v>
      </c>
      <c r="B74" t="s">
        <v>497</v>
      </c>
      <c r="C74" t="s">
        <v>496</v>
      </c>
      <c r="D74" s="2" t="s">
        <v>45</v>
      </c>
      <c r="E74" s="2" t="s">
        <v>45</v>
      </c>
      <c r="F74" s="2" t="s">
        <v>45</v>
      </c>
      <c r="G74" s="2" t="s">
        <v>45</v>
      </c>
      <c r="H74" s="2" t="s">
        <v>45</v>
      </c>
      <c r="I74" s="2" t="s">
        <v>45</v>
      </c>
      <c r="J74" s="2" t="s">
        <v>45</v>
      </c>
    </row>
    <row r="75" spans="1:10">
      <c r="A75" t="s">
        <v>369</v>
      </c>
      <c r="B75" t="s">
        <v>498</v>
      </c>
      <c r="C75" t="s">
        <v>499</v>
      </c>
      <c r="D75" s="2" t="s">
        <v>45</v>
      </c>
      <c r="E75" s="2" t="s">
        <v>45</v>
      </c>
      <c r="F75" s="2" t="s">
        <v>45</v>
      </c>
      <c r="G75" s="2" t="s">
        <v>45</v>
      </c>
      <c r="H75" s="2" t="s">
        <v>45</v>
      </c>
      <c r="I75" s="2" t="s">
        <v>45</v>
      </c>
      <c r="J75" s="2" t="s">
        <v>45</v>
      </c>
    </row>
    <row r="76" spans="1:10">
      <c r="A76" t="s">
        <v>369</v>
      </c>
      <c r="B76" t="s">
        <v>500</v>
      </c>
      <c r="C76" t="s">
        <v>499</v>
      </c>
      <c r="D76" s="2" t="s">
        <v>45</v>
      </c>
      <c r="E76" s="2" t="s">
        <v>45</v>
      </c>
      <c r="F76" s="2" t="s">
        <v>45</v>
      </c>
      <c r="G76" s="2" t="s">
        <v>45</v>
      </c>
      <c r="H76" s="2" t="s">
        <v>45</v>
      </c>
      <c r="I76" s="2" t="s">
        <v>45</v>
      </c>
      <c r="J76" s="2" t="s">
        <v>45</v>
      </c>
    </row>
    <row r="77" spans="1:10">
      <c r="A77" t="s">
        <v>369</v>
      </c>
      <c r="B77" t="s">
        <v>501</v>
      </c>
      <c r="C77" t="s">
        <v>502</v>
      </c>
      <c r="D77" s="2" t="s">
        <v>45</v>
      </c>
      <c r="E77" s="2" t="s">
        <v>45</v>
      </c>
      <c r="F77" s="2" t="s">
        <v>45</v>
      </c>
      <c r="G77" s="2" t="s">
        <v>45</v>
      </c>
      <c r="H77" s="2" t="s">
        <v>45</v>
      </c>
      <c r="I77" s="2" t="s">
        <v>45</v>
      </c>
      <c r="J77" s="2" t="s">
        <v>45</v>
      </c>
    </row>
    <row r="78" spans="1:10">
      <c r="A78" t="s">
        <v>369</v>
      </c>
      <c r="B78" t="s">
        <v>503</v>
      </c>
      <c r="C78" t="s">
        <v>504</v>
      </c>
      <c r="D78" s="2" t="s">
        <v>45</v>
      </c>
      <c r="E78" s="2" t="s">
        <v>45</v>
      </c>
      <c r="F78" s="2" t="s">
        <v>45</v>
      </c>
      <c r="G78" s="2" t="s">
        <v>45</v>
      </c>
      <c r="H78" s="2" t="s">
        <v>45</v>
      </c>
      <c r="I78" s="2" t="s">
        <v>45</v>
      </c>
      <c r="J78" s="2" t="s">
        <v>45</v>
      </c>
    </row>
    <row r="79" spans="1:10">
      <c r="A79" t="s">
        <v>369</v>
      </c>
      <c r="B79" t="s">
        <v>505</v>
      </c>
      <c r="C79" t="s">
        <v>506</v>
      </c>
      <c r="D79" s="2" t="s">
        <v>45</v>
      </c>
      <c r="E79" s="2" t="s">
        <v>45</v>
      </c>
      <c r="F79" s="2" t="s">
        <v>45</v>
      </c>
      <c r="G79" s="2" t="s">
        <v>45</v>
      </c>
      <c r="H79" s="2" t="s">
        <v>45</v>
      </c>
      <c r="I79" s="2" t="s">
        <v>45</v>
      </c>
      <c r="J79" s="2" t="s">
        <v>45</v>
      </c>
    </row>
    <row r="80" spans="1:10">
      <c r="A80" t="s">
        <v>369</v>
      </c>
      <c r="B80" t="s">
        <v>507</v>
      </c>
      <c r="C80" t="s">
        <v>508</v>
      </c>
      <c r="D80" s="2" t="s">
        <v>45</v>
      </c>
      <c r="E80" s="2" t="s">
        <v>45</v>
      </c>
      <c r="F80" s="2" t="s">
        <v>45</v>
      </c>
      <c r="G80" s="2" t="s">
        <v>45</v>
      </c>
      <c r="H80" s="2" t="s">
        <v>45</v>
      </c>
      <c r="I80" s="2" t="s">
        <v>45</v>
      </c>
      <c r="J80" s="2" t="s">
        <v>45</v>
      </c>
    </row>
    <row r="81" spans="1:10">
      <c r="A81" t="s">
        <v>369</v>
      </c>
      <c r="B81" t="s">
        <v>509</v>
      </c>
      <c r="C81" t="s">
        <v>510</v>
      </c>
      <c r="D81" s="2" t="s">
        <v>45</v>
      </c>
      <c r="E81" s="2" t="s">
        <v>45</v>
      </c>
      <c r="F81" s="2" t="s">
        <v>45</v>
      </c>
      <c r="G81" s="2" t="s">
        <v>45</v>
      </c>
      <c r="H81" s="2" t="s">
        <v>45</v>
      </c>
      <c r="I81" s="2" t="s">
        <v>45</v>
      </c>
      <c r="J81" s="2" t="s">
        <v>45</v>
      </c>
    </row>
    <row r="82" spans="1:10">
      <c r="A82" t="s">
        <v>369</v>
      </c>
      <c r="B82" t="s">
        <v>511</v>
      </c>
      <c r="C82" t="s">
        <v>512</v>
      </c>
      <c r="D82" s="2" t="s">
        <v>45</v>
      </c>
      <c r="E82" s="2" t="s">
        <v>45</v>
      </c>
      <c r="F82" s="2" t="s">
        <v>45</v>
      </c>
      <c r="G82" s="2" t="s">
        <v>45</v>
      </c>
      <c r="H82" s="2" t="s">
        <v>45</v>
      </c>
      <c r="I82" s="2" t="s">
        <v>45</v>
      </c>
      <c r="J82" s="2" t="s">
        <v>45</v>
      </c>
    </row>
    <row r="83" spans="1:10">
      <c r="A83" t="s">
        <v>369</v>
      </c>
      <c r="B83" t="s">
        <v>513</v>
      </c>
      <c r="C83" t="s">
        <v>514</v>
      </c>
      <c r="D83" s="2" t="s">
        <v>45</v>
      </c>
      <c r="E83" s="2" t="s">
        <v>45</v>
      </c>
      <c r="F83" s="2" t="s">
        <v>45</v>
      </c>
      <c r="G83" s="2" t="s">
        <v>45</v>
      </c>
      <c r="H83" s="2" t="s">
        <v>45</v>
      </c>
      <c r="I83" s="2" t="s">
        <v>45</v>
      </c>
      <c r="J83" s="2" t="s">
        <v>45</v>
      </c>
    </row>
    <row r="84" spans="1:10">
      <c r="A84" t="s">
        <v>369</v>
      </c>
      <c r="B84" t="s">
        <v>515</v>
      </c>
      <c r="C84" t="s">
        <v>516</v>
      </c>
      <c r="D84" s="2" t="s">
        <v>45</v>
      </c>
      <c r="E84" s="2" t="s">
        <v>45</v>
      </c>
      <c r="F84" s="2" t="s">
        <v>45</v>
      </c>
      <c r="G84" s="2" t="s">
        <v>45</v>
      </c>
      <c r="H84" s="2" t="s">
        <v>45</v>
      </c>
      <c r="I84" s="2" t="s">
        <v>45</v>
      </c>
      <c r="J84" s="2" t="s">
        <v>45</v>
      </c>
    </row>
    <row r="85" spans="1:10">
      <c r="A85" t="s">
        <v>369</v>
      </c>
      <c r="B85" t="s">
        <v>517</v>
      </c>
      <c r="C85" t="s">
        <v>518</v>
      </c>
      <c r="D85" s="2" t="s">
        <v>45</v>
      </c>
      <c r="E85" s="2" t="s">
        <v>45</v>
      </c>
      <c r="F85" s="2" t="s">
        <v>45</v>
      </c>
      <c r="G85" s="2" t="s">
        <v>45</v>
      </c>
      <c r="H85" s="2" t="s">
        <v>45</v>
      </c>
      <c r="I85" s="2" t="s">
        <v>45</v>
      </c>
      <c r="J85" s="2" t="s">
        <v>45</v>
      </c>
    </row>
    <row r="86" spans="1:10">
      <c r="A86" t="s">
        <v>369</v>
      </c>
      <c r="B86" t="s">
        <v>519</v>
      </c>
      <c r="C86" t="s">
        <v>520</v>
      </c>
      <c r="D86" s="2" t="s">
        <v>45</v>
      </c>
      <c r="E86" s="2" t="s">
        <v>45</v>
      </c>
      <c r="F86" s="2" t="s">
        <v>45</v>
      </c>
      <c r="G86" s="2" t="s">
        <v>45</v>
      </c>
      <c r="H86" s="2" t="s">
        <v>45</v>
      </c>
      <c r="I86" s="2" t="s">
        <v>45</v>
      </c>
      <c r="J86" s="2" t="s">
        <v>45</v>
      </c>
    </row>
    <row r="87" spans="1:10">
      <c r="A87" t="s">
        <v>369</v>
      </c>
      <c r="B87" t="s">
        <v>521</v>
      </c>
      <c r="C87" t="s">
        <v>522</v>
      </c>
      <c r="D87" s="2" t="s">
        <v>45</v>
      </c>
      <c r="E87" s="2" t="s">
        <v>45</v>
      </c>
      <c r="F87" s="2" t="s">
        <v>45</v>
      </c>
      <c r="G87" s="2" t="s">
        <v>45</v>
      </c>
      <c r="H87" s="2" t="s">
        <v>45</v>
      </c>
      <c r="I87" s="2" t="s">
        <v>45</v>
      </c>
      <c r="J87" s="2" t="s">
        <v>45</v>
      </c>
    </row>
    <row r="88" spans="1:10">
      <c r="A88" t="s">
        <v>369</v>
      </c>
      <c r="B88" t="s">
        <v>523</v>
      </c>
      <c r="C88" t="s">
        <v>524</v>
      </c>
      <c r="D88" s="2" t="s">
        <v>45</v>
      </c>
      <c r="E88" s="2" t="s">
        <v>45</v>
      </c>
      <c r="F88" s="2" t="s">
        <v>45</v>
      </c>
      <c r="G88" s="2" t="s">
        <v>45</v>
      </c>
      <c r="H88" s="2" t="s">
        <v>45</v>
      </c>
      <c r="I88" s="2" t="s">
        <v>45</v>
      </c>
      <c r="J88" s="2" t="s">
        <v>45</v>
      </c>
    </row>
    <row r="89" spans="1:10">
      <c r="A89" t="s">
        <v>369</v>
      </c>
      <c r="B89" t="s">
        <v>525</v>
      </c>
      <c r="C89" t="s">
        <v>526</v>
      </c>
      <c r="D89" s="2" t="s">
        <v>45</v>
      </c>
      <c r="E89" s="2" t="s">
        <v>45</v>
      </c>
      <c r="F89" s="2" t="s">
        <v>45</v>
      </c>
      <c r="G89" s="2" t="s">
        <v>45</v>
      </c>
      <c r="H89" s="2" t="s">
        <v>45</v>
      </c>
      <c r="I89" s="2" t="s">
        <v>45</v>
      </c>
      <c r="J89" s="2" t="s">
        <v>45</v>
      </c>
    </row>
    <row r="90" spans="1:10">
      <c r="A90" t="s">
        <v>369</v>
      </c>
      <c r="B90" t="s">
        <v>527</v>
      </c>
      <c r="C90" t="s">
        <v>528</v>
      </c>
      <c r="D90" s="2" t="s">
        <v>45</v>
      </c>
      <c r="E90" s="2" t="s">
        <v>45</v>
      </c>
      <c r="F90" s="2" t="s">
        <v>45</v>
      </c>
      <c r="G90" s="2" t="s">
        <v>45</v>
      </c>
      <c r="H90" s="2" t="s">
        <v>45</v>
      </c>
      <c r="I90" s="2" t="s">
        <v>45</v>
      </c>
      <c r="J90" s="2" t="s">
        <v>45</v>
      </c>
    </row>
    <row r="91" spans="1:10">
      <c r="A91" t="s">
        <v>369</v>
      </c>
      <c r="B91" t="s">
        <v>529</v>
      </c>
      <c r="C91" t="s">
        <v>530</v>
      </c>
      <c r="D91" s="2" t="s">
        <v>45</v>
      </c>
      <c r="E91" s="2" t="s">
        <v>45</v>
      </c>
      <c r="F91" s="2" t="s">
        <v>45</v>
      </c>
      <c r="G91" s="2" t="s">
        <v>45</v>
      </c>
      <c r="H91" s="2" t="s">
        <v>45</v>
      </c>
      <c r="I91" s="2" t="s">
        <v>45</v>
      </c>
      <c r="J91" s="2" t="s">
        <v>45</v>
      </c>
    </row>
    <row r="92" spans="1:10">
      <c r="A92" t="s">
        <v>369</v>
      </c>
      <c r="B92" t="s">
        <v>531</v>
      </c>
      <c r="C92" t="s">
        <v>532</v>
      </c>
      <c r="D92" s="2" t="s">
        <v>45</v>
      </c>
      <c r="E92" s="2" t="s">
        <v>45</v>
      </c>
      <c r="F92" s="2" t="s">
        <v>45</v>
      </c>
      <c r="G92" s="2" t="s">
        <v>45</v>
      </c>
      <c r="H92" s="2" t="s">
        <v>45</v>
      </c>
      <c r="I92" s="2" t="s">
        <v>45</v>
      </c>
      <c r="J92" s="2" t="s">
        <v>45</v>
      </c>
    </row>
    <row r="93" spans="1:10">
      <c r="A93" t="s">
        <v>369</v>
      </c>
      <c r="B93" t="s">
        <v>533</v>
      </c>
      <c r="C93" t="s">
        <v>534</v>
      </c>
      <c r="D93" s="2" t="s">
        <v>45</v>
      </c>
      <c r="E93" s="2" t="s">
        <v>45</v>
      </c>
      <c r="F93" s="2" t="s">
        <v>45</v>
      </c>
      <c r="G93" s="2" t="s">
        <v>45</v>
      </c>
      <c r="H93" s="2" t="s">
        <v>45</v>
      </c>
      <c r="I93" s="2" t="s">
        <v>45</v>
      </c>
      <c r="J93" s="2" t="s">
        <v>45</v>
      </c>
    </row>
    <row r="94" spans="1:10">
      <c r="A94" t="s">
        <v>369</v>
      </c>
      <c r="B94" t="s">
        <v>535</v>
      </c>
      <c r="C94" t="s">
        <v>536</v>
      </c>
      <c r="D94" s="2" t="s">
        <v>45</v>
      </c>
      <c r="E94" s="2" t="s">
        <v>45</v>
      </c>
      <c r="F94" s="2" t="s">
        <v>45</v>
      </c>
      <c r="G94" s="2" t="s">
        <v>45</v>
      </c>
      <c r="H94" s="2" t="s">
        <v>45</v>
      </c>
      <c r="I94" s="2" t="s">
        <v>45</v>
      </c>
      <c r="J94" s="2" t="s">
        <v>45</v>
      </c>
    </row>
    <row r="95" spans="1:10">
      <c r="A95" t="s">
        <v>369</v>
      </c>
      <c r="B95" t="s">
        <v>537</v>
      </c>
      <c r="C95" t="s">
        <v>538</v>
      </c>
      <c r="D95" s="2" t="s">
        <v>45</v>
      </c>
      <c r="E95" s="2" t="s">
        <v>45</v>
      </c>
      <c r="F95" s="2" t="s">
        <v>45</v>
      </c>
      <c r="G95" s="2" t="s">
        <v>45</v>
      </c>
      <c r="H95" s="2" t="s">
        <v>45</v>
      </c>
      <c r="I95" s="2" t="s">
        <v>45</v>
      </c>
      <c r="J95" s="2" t="s">
        <v>45</v>
      </c>
    </row>
    <row r="96" spans="1:10">
      <c r="A96" t="s">
        <v>369</v>
      </c>
      <c r="B96" t="s">
        <v>539</v>
      </c>
      <c r="C96" t="s">
        <v>540</v>
      </c>
      <c r="D96" s="2" t="s">
        <v>45</v>
      </c>
      <c r="E96" s="2" t="s">
        <v>45</v>
      </c>
      <c r="F96" s="2" t="s">
        <v>45</v>
      </c>
      <c r="G96" s="2" t="s">
        <v>45</v>
      </c>
      <c r="H96" s="2" t="s">
        <v>45</v>
      </c>
      <c r="I96" s="2" t="s">
        <v>45</v>
      </c>
      <c r="J96" s="2" t="s">
        <v>45</v>
      </c>
    </row>
    <row r="97" spans="1:10">
      <c r="A97" t="s">
        <v>369</v>
      </c>
      <c r="B97" t="s">
        <v>541</v>
      </c>
      <c r="C97" t="s">
        <v>379</v>
      </c>
      <c r="D97" s="2" t="s">
        <v>45</v>
      </c>
      <c r="E97" s="2" t="s">
        <v>45</v>
      </c>
      <c r="F97" s="2" t="s">
        <v>45</v>
      </c>
      <c r="G97" s="2" t="s">
        <v>45</v>
      </c>
      <c r="H97" s="2" t="s">
        <v>45</v>
      </c>
      <c r="I97" s="2" t="s">
        <v>45</v>
      </c>
      <c r="J97" s="2" t="s">
        <v>45</v>
      </c>
    </row>
    <row r="98" spans="1:10">
      <c r="A98" t="s">
        <v>542</v>
      </c>
      <c r="B98" t="s">
        <v>543</v>
      </c>
      <c r="C98" t="s">
        <v>544</v>
      </c>
      <c r="D98" s="2" t="s">
        <v>45</v>
      </c>
      <c r="E98" s="2" t="s">
        <v>45</v>
      </c>
      <c r="F98" s="2" t="s">
        <v>45</v>
      </c>
      <c r="G98" s="2" t="s">
        <v>45</v>
      </c>
      <c r="H98" s="2" t="s">
        <v>45</v>
      </c>
      <c r="I98" s="2" t="s">
        <v>45</v>
      </c>
      <c r="J98" s="2" t="s">
        <v>45</v>
      </c>
    </row>
    <row r="99" spans="1:10">
      <c r="A99" t="s">
        <v>542</v>
      </c>
      <c r="B99" t="s">
        <v>543</v>
      </c>
      <c r="C99" t="s">
        <v>545</v>
      </c>
      <c r="D99" s="2" t="s">
        <v>45</v>
      </c>
      <c r="E99" s="2" t="s">
        <v>45</v>
      </c>
      <c r="F99" s="2" t="s">
        <v>45</v>
      </c>
      <c r="G99" s="2" t="s">
        <v>45</v>
      </c>
      <c r="H99" s="2" t="s">
        <v>45</v>
      </c>
      <c r="I99" s="2" t="s">
        <v>45</v>
      </c>
      <c r="J99" s="2" t="s">
        <v>45</v>
      </c>
    </row>
    <row r="100" spans="1:10">
      <c r="A100" t="s">
        <v>542</v>
      </c>
      <c r="B100" t="s">
        <v>543</v>
      </c>
      <c r="C100" t="s">
        <v>546</v>
      </c>
      <c r="D100" s="2" t="s">
        <v>45</v>
      </c>
      <c r="E100" s="2" t="s">
        <v>45</v>
      </c>
      <c r="F100" s="2" t="s">
        <v>45</v>
      </c>
      <c r="G100" s="2" t="s">
        <v>45</v>
      </c>
      <c r="H100" s="2" t="s">
        <v>45</v>
      </c>
      <c r="I100" s="2" t="s">
        <v>45</v>
      </c>
      <c r="J100" s="2" t="s">
        <v>45</v>
      </c>
    </row>
    <row r="101" spans="1:10">
      <c r="A101" t="s">
        <v>542</v>
      </c>
      <c r="B101" t="s">
        <v>543</v>
      </c>
      <c r="C101" t="s">
        <v>547</v>
      </c>
      <c r="D101" s="2" t="s">
        <v>45</v>
      </c>
      <c r="E101" s="2" t="s">
        <v>45</v>
      </c>
      <c r="F101" s="2" t="s">
        <v>45</v>
      </c>
      <c r="G101" s="2" t="s">
        <v>45</v>
      </c>
      <c r="H101" s="2" t="s">
        <v>45</v>
      </c>
      <c r="I101" s="2" t="s">
        <v>45</v>
      </c>
      <c r="J101" s="2" t="s">
        <v>45</v>
      </c>
    </row>
    <row r="102" spans="1:10">
      <c r="A102" t="s">
        <v>542</v>
      </c>
      <c r="B102" t="s">
        <v>548</v>
      </c>
      <c r="C102" t="s">
        <v>549</v>
      </c>
      <c r="D102" s="2" t="s">
        <v>45</v>
      </c>
      <c r="E102" s="2" t="s">
        <v>45</v>
      </c>
      <c r="F102" s="2" t="s">
        <v>45</v>
      </c>
      <c r="G102" s="2" t="s">
        <v>45</v>
      </c>
      <c r="H102" s="2" t="s">
        <v>45</v>
      </c>
      <c r="I102" s="2" t="s">
        <v>45</v>
      </c>
      <c r="J102" s="2" t="s">
        <v>45</v>
      </c>
    </row>
    <row r="103" spans="1:10">
      <c r="A103" t="s">
        <v>542</v>
      </c>
      <c r="B103" t="s">
        <v>550</v>
      </c>
      <c r="C103" t="s">
        <v>551</v>
      </c>
      <c r="D103" s="2" t="s">
        <v>45</v>
      </c>
      <c r="E103" s="2" t="s">
        <v>45</v>
      </c>
      <c r="F103" s="2" t="s">
        <v>45</v>
      </c>
      <c r="G103" s="2" t="s">
        <v>45</v>
      </c>
      <c r="H103" s="2" t="s">
        <v>45</v>
      </c>
      <c r="I103" s="2" t="s">
        <v>45</v>
      </c>
      <c r="J103" s="2" t="s">
        <v>45</v>
      </c>
    </row>
    <row r="104" spans="1:10">
      <c r="A104" t="s">
        <v>542</v>
      </c>
      <c r="B104" t="s">
        <v>552</v>
      </c>
      <c r="C104" t="s">
        <v>553</v>
      </c>
      <c r="D104" s="2" t="s">
        <v>45</v>
      </c>
      <c r="E104" s="2" t="s">
        <v>45</v>
      </c>
      <c r="F104" s="2" t="s">
        <v>45</v>
      </c>
      <c r="G104" s="2" t="s">
        <v>45</v>
      </c>
      <c r="H104" s="2" t="s">
        <v>45</v>
      </c>
      <c r="I104" s="2" t="s">
        <v>45</v>
      </c>
      <c r="J104" s="2" t="s">
        <v>45</v>
      </c>
    </row>
    <row r="105" spans="1:10">
      <c r="A105" t="s">
        <v>542</v>
      </c>
      <c r="B105" t="s">
        <v>554</v>
      </c>
      <c r="C105" t="s">
        <v>555</v>
      </c>
      <c r="D105" s="2" t="s">
        <v>45</v>
      </c>
      <c r="E105" s="2" t="s">
        <v>45</v>
      </c>
      <c r="F105" s="2" t="s">
        <v>45</v>
      </c>
      <c r="G105" s="2" t="s">
        <v>45</v>
      </c>
      <c r="H105" s="2" t="s">
        <v>45</v>
      </c>
      <c r="I105" s="2" t="s">
        <v>45</v>
      </c>
      <c r="J105" s="2" t="s">
        <v>45</v>
      </c>
    </row>
    <row r="106" spans="1:10">
      <c r="A106" t="s">
        <v>542</v>
      </c>
      <c r="B106" t="s">
        <v>554</v>
      </c>
      <c r="C106" t="s">
        <v>556</v>
      </c>
      <c r="D106" s="2" t="s">
        <v>45</v>
      </c>
      <c r="E106" s="2" t="s">
        <v>45</v>
      </c>
      <c r="F106" s="2" t="s">
        <v>45</v>
      </c>
      <c r="G106" s="2" t="s">
        <v>45</v>
      </c>
      <c r="H106" s="2" t="s">
        <v>45</v>
      </c>
      <c r="I106" s="2" t="s">
        <v>45</v>
      </c>
      <c r="J106" s="2" t="s">
        <v>45</v>
      </c>
    </row>
    <row r="107" spans="1:10">
      <c r="A107" t="s">
        <v>542</v>
      </c>
      <c r="B107" t="s">
        <v>557</v>
      </c>
      <c r="C107" t="s">
        <v>558</v>
      </c>
      <c r="D107" s="2" t="s">
        <v>45</v>
      </c>
      <c r="E107" s="2" t="s">
        <v>45</v>
      </c>
      <c r="F107" s="2" t="s">
        <v>45</v>
      </c>
      <c r="G107" s="2" t="s">
        <v>45</v>
      </c>
      <c r="H107" s="2" t="s">
        <v>45</v>
      </c>
      <c r="I107" s="2" t="s">
        <v>45</v>
      </c>
      <c r="J107" s="2" t="s">
        <v>45</v>
      </c>
    </row>
    <row r="108" spans="1:10">
      <c r="A108" t="s">
        <v>542</v>
      </c>
      <c r="B108" t="s">
        <v>559</v>
      </c>
      <c r="C108" t="s">
        <v>560</v>
      </c>
      <c r="D108" s="2" t="s">
        <v>45</v>
      </c>
      <c r="E108" s="2" t="s">
        <v>45</v>
      </c>
      <c r="F108" s="2" t="s">
        <v>45</v>
      </c>
      <c r="G108" s="2" t="s">
        <v>45</v>
      </c>
      <c r="H108" s="2" t="s">
        <v>45</v>
      </c>
      <c r="I108" s="2" t="s">
        <v>45</v>
      </c>
      <c r="J108" s="2" t="s">
        <v>45</v>
      </c>
    </row>
    <row r="109" spans="1:10">
      <c r="A109" t="s">
        <v>542</v>
      </c>
      <c r="B109" t="s">
        <v>561</v>
      </c>
      <c r="C109" t="s">
        <v>562</v>
      </c>
      <c r="D109" s="2" t="s">
        <v>45</v>
      </c>
      <c r="E109" s="2" t="s">
        <v>45</v>
      </c>
      <c r="F109" s="2" t="s">
        <v>45</v>
      </c>
      <c r="G109" s="2" t="s">
        <v>45</v>
      </c>
      <c r="H109" s="2" t="s">
        <v>45</v>
      </c>
      <c r="I109" s="2" t="s">
        <v>45</v>
      </c>
      <c r="J109" s="2" t="s">
        <v>45</v>
      </c>
    </row>
    <row r="110" spans="1:10">
      <c r="A110" t="s">
        <v>563</v>
      </c>
      <c r="B110" t="s">
        <v>564</v>
      </c>
      <c r="C110" t="s">
        <v>565</v>
      </c>
      <c r="D110" s="2" t="s">
        <v>45</v>
      </c>
      <c r="E110" s="2" t="s">
        <v>45</v>
      </c>
      <c r="F110" s="2" t="s">
        <v>45</v>
      </c>
      <c r="G110" s="2" t="s">
        <v>45</v>
      </c>
      <c r="H110" s="2" t="s">
        <v>45</v>
      </c>
      <c r="I110" s="2" t="s">
        <v>45</v>
      </c>
      <c r="J110" s="2" t="s">
        <v>45</v>
      </c>
    </row>
    <row r="111" spans="1:10">
      <c r="A111" t="s">
        <v>563</v>
      </c>
      <c r="B111" t="s">
        <v>566</v>
      </c>
      <c r="C111" t="s">
        <v>567</v>
      </c>
      <c r="D111" s="2" t="s">
        <v>45</v>
      </c>
      <c r="E111" s="2" t="s">
        <v>45</v>
      </c>
      <c r="F111" s="2" t="s">
        <v>45</v>
      </c>
      <c r="G111" s="2" t="s">
        <v>45</v>
      </c>
      <c r="H111" s="2" t="s">
        <v>45</v>
      </c>
      <c r="I111" s="2" t="s">
        <v>45</v>
      </c>
      <c r="J111" s="2" t="s">
        <v>45</v>
      </c>
    </row>
    <row r="112" spans="1:10">
      <c r="A112" t="s">
        <v>563</v>
      </c>
      <c r="B112" t="s">
        <v>568</v>
      </c>
      <c r="C112" t="s">
        <v>569</v>
      </c>
      <c r="D112" s="2" t="s">
        <v>45</v>
      </c>
      <c r="E112" s="2" t="s">
        <v>45</v>
      </c>
      <c r="F112" s="2" t="s">
        <v>45</v>
      </c>
      <c r="G112" s="2" t="s">
        <v>45</v>
      </c>
      <c r="H112" s="2" t="s">
        <v>45</v>
      </c>
      <c r="I112" s="2" t="s">
        <v>45</v>
      </c>
      <c r="J112" s="2" t="s">
        <v>45</v>
      </c>
    </row>
    <row r="113" spans="1:10">
      <c r="A113" t="s">
        <v>563</v>
      </c>
      <c r="B113" t="s">
        <v>570</v>
      </c>
      <c r="C113" t="s">
        <v>571</v>
      </c>
      <c r="D113" s="2" t="s">
        <v>45</v>
      </c>
      <c r="E113" s="2" t="s">
        <v>45</v>
      </c>
      <c r="F113" s="2" t="s">
        <v>45</v>
      </c>
      <c r="G113" s="2" t="s">
        <v>45</v>
      </c>
      <c r="H113" s="2" t="s">
        <v>45</v>
      </c>
      <c r="I113" s="2" t="s">
        <v>45</v>
      </c>
      <c r="J113" s="2" t="s">
        <v>45</v>
      </c>
    </row>
    <row r="114" spans="1:10">
      <c r="A114" t="s">
        <v>563</v>
      </c>
      <c r="B114" t="s">
        <v>572</v>
      </c>
      <c r="C114" t="s">
        <v>573</v>
      </c>
      <c r="D114" s="2" t="s">
        <v>45</v>
      </c>
      <c r="E114" s="2" t="s">
        <v>45</v>
      </c>
      <c r="F114" s="2" t="s">
        <v>45</v>
      </c>
      <c r="G114" s="2" t="s">
        <v>45</v>
      </c>
      <c r="H114" s="2" t="s">
        <v>45</v>
      </c>
      <c r="I114" s="2" t="s">
        <v>45</v>
      </c>
      <c r="J114" s="2" t="s">
        <v>45</v>
      </c>
    </row>
    <row r="115" spans="1:10">
      <c r="A115" t="s">
        <v>563</v>
      </c>
      <c r="B115" t="s">
        <v>574</v>
      </c>
      <c r="C115" t="s">
        <v>575</v>
      </c>
      <c r="D115" s="2" t="s">
        <v>45</v>
      </c>
      <c r="E115" s="2" t="s">
        <v>45</v>
      </c>
      <c r="F115" s="2" t="s">
        <v>45</v>
      </c>
      <c r="G115" s="2" t="s">
        <v>45</v>
      </c>
      <c r="H115" s="2" t="s">
        <v>45</v>
      </c>
      <c r="I115" s="2" t="s">
        <v>45</v>
      </c>
      <c r="J115" s="2" t="s">
        <v>45</v>
      </c>
    </row>
    <row r="116" spans="1:10">
      <c r="A116" t="s">
        <v>563</v>
      </c>
      <c r="B116" t="s">
        <v>576</v>
      </c>
      <c r="C116" t="s">
        <v>577</v>
      </c>
      <c r="D116" s="2" t="s">
        <v>45</v>
      </c>
      <c r="E116" s="2" t="s">
        <v>45</v>
      </c>
      <c r="F116" s="2" t="s">
        <v>45</v>
      </c>
      <c r="G116" s="2" t="s">
        <v>45</v>
      </c>
      <c r="H116" s="2" t="s">
        <v>45</v>
      </c>
      <c r="I116" s="2" t="s">
        <v>45</v>
      </c>
      <c r="J116" s="2" t="s">
        <v>45</v>
      </c>
    </row>
    <row r="117" spans="1:10">
      <c r="A117" t="s">
        <v>563</v>
      </c>
      <c r="B117" t="s">
        <v>578</v>
      </c>
      <c r="C117" t="s">
        <v>579</v>
      </c>
      <c r="D117" s="2" t="s">
        <v>45</v>
      </c>
      <c r="E117" s="2" t="s">
        <v>45</v>
      </c>
      <c r="F117" s="2" t="s">
        <v>45</v>
      </c>
      <c r="G117" s="2" t="s">
        <v>45</v>
      </c>
      <c r="H117" s="2" t="s">
        <v>45</v>
      </c>
      <c r="I117" s="2" t="s">
        <v>45</v>
      </c>
      <c r="J117" s="2" t="s">
        <v>45</v>
      </c>
    </row>
    <row r="118" spans="1:10">
      <c r="A118" t="s">
        <v>563</v>
      </c>
      <c r="B118" t="s">
        <v>580</v>
      </c>
      <c r="C118" t="s">
        <v>581</v>
      </c>
      <c r="D118" s="2" t="s">
        <v>45</v>
      </c>
      <c r="E118" s="2" t="s">
        <v>45</v>
      </c>
      <c r="F118" s="2" t="s">
        <v>45</v>
      </c>
      <c r="G118" s="2" t="s">
        <v>45</v>
      </c>
      <c r="H118" s="2" t="s">
        <v>45</v>
      </c>
      <c r="I118" s="2" t="s">
        <v>45</v>
      </c>
      <c r="J118" s="2" t="s">
        <v>45</v>
      </c>
    </row>
    <row r="119" spans="1:10">
      <c r="A119" t="s">
        <v>563</v>
      </c>
      <c r="B119" t="s">
        <v>582</v>
      </c>
      <c r="C119" t="s">
        <v>583</v>
      </c>
      <c r="D119" s="2" t="s">
        <v>45</v>
      </c>
      <c r="E119" s="2" t="s">
        <v>45</v>
      </c>
      <c r="F119" s="2" t="s">
        <v>45</v>
      </c>
      <c r="G119" s="2" t="s">
        <v>45</v>
      </c>
      <c r="H119" s="2" t="s">
        <v>45</v>
      </c>
      <c r="I119" s="2" t="s">
        <v>45</v>
      </c>
      <c r="J119" s="2" t="s">
        <v>45</v>
      </c>
    </row>
    <row r="120" spans="1:10">
      <c r="A120" t="s">
        <v>563</v>
      </c>
      <c r="B120" t="s">
        <v>584</v>
      </c>
      <c r="C120" t="s">
        <v>573</v>
      </c>
      <c r="D120" s="2" t="s">
        <v>45</v>
      </c>
      <c r="E120" s="2" t="s">
        <v>45</v>
      </c>
      <c r="F120" s="2" t="s">
        <v>45</v>
      </c>
      <c r="G120" s="2" t="s">
        <v>45</v>
      </c>
      <c r="H120" s="2" t="s">
        <v>45</v>
      </c>
      <c r="I120" s="2" t="s">
        <v>45</v>
      </c>
      <c r="J120" s="2" t="s">
        <v>45</v>
      </c>
    </row>
    <row r="121" spans="1:10">
      <c r="A121" t="s">
        <v>563</v>
      </c>
      <c r="B121" t="s">
        <v>585</v>
      </c>
      <c r="C121" t="s">
        <v>573</v>
      </c>
      <c r="D121" s="2" t="s">
        <v>45</v>
      </c>
      <c r="E121" s="2" t="s">
        <v>45</v>
      </c>
      <c r="F121" s="2" t="s">
        <v>45</v>
      </c>
      <c r="G121" s="2" t="s">
        <v>45</v>
      </c>
      <c r="H121" s="2" t="s">
        <v>45</v>
      </c>
      <c r="I121" s="2" t="s">
        <v>45</v>
      </c>
      <c r="J121" s="2" t="s">
        <v>45</v>
      </c>
    </row>
    <row r="122" spans="1:10">
      <c r="A122" t="s">
        <v>563</v>
      </c>
      <c r="B122" t="s">
        <v>586</v>
      </c>
      <c r="C122" t="s">
        <v>583</v>
      </c>
      <c r="D122" s="2" t="s">
        <v>45</v>
      </c>
      <c r="E122" s="2" t="s">
        <v>45</v>
      </c>
      <c r="F122" s="2" t="s">
        <v>45</v>
      </c>
      <c r="G122" s="2" t="s">
        <v>45</v>
      </c>
      <c r="H122" s="2" t="s">
        <v>45</v>
      </c>
      <c r="I122" s="2" t="s">
        <v>45</v>
      </c>
      <c r="J122" s="2" t="s">
        <v>45</v>
      </c>
    </row>
    <row r="123" spans="1:10">
      <c r="A123" t="s">
        <v>563</v>
      </c>
      <c r="B123" t="s">
        <v>587</v>
      </c>
      <c r="C123" t="s">
        <v>573</v>
      </c>
      <c r="D123" s="2" t="s">
        <v>45</v>
      </c>
      <c r="E123" s="2" t="s">
        <v>45</v>
      </c>
      <c r="F123" s="2" t="s">
        <v>45</v>
      </c>
      <c r="G123" s="2" t="s">
        <v>45</v>
      </c>
      <c r="H123" s="2" t="s">
        <v>45</v>
      </c>
      <c r="I123" s="2" t="s">
        <v>45</v>
      </c>
      <c r="J123" s="2" t="s">
        <v>45</v>
      </c>
    </row>
    <row r="124" spans="1:10">
      <c r="A124" t="s">
        <v>563</v>
      </c>
      <c r="B124" t="s">
        <v>588</v>
      </c>
      <c r="C124" t="s">
        <v>583</v>
      </c>
      <c r="D124" s="2" t="s">
        <v>45</v>
      </c>
      <c r="E124" s="2" t="s">
        <v>45</v>
      </c>
      <c r="F124" s="2" t="s">
        <v>45</v>
      </c>
      <c r="G124" s="2" t="s">
        <v>45</v>
      </c>
      <c r="H124" s="2" t="s">
        <v>45</v>
      </c>
      <c r="I124" s="2" t="s">
        <v>45</v>
      </c>
      <c r="J124" s="2" t="s">
        <v>45</v>
      </c>
    </row>
    <row r="125" spans="1:10">
      <c r="A125" t="s">
        <v>563</v>
      </c>
      <c r="B125" t="s">
        <v>589</v>
      </c>
      <c r="C125" t="s">
        <v>590</v>
      </c>
      <c r="D125" s="2" t="s">
        <v>45</v>
      </c>
      <c r="E125" s="2" t="s">
        <v>45</v>
      </c>
      <c r="F125" s="2" t="s">
        <v>45</v>
      </c>
      <c r="G125" s="2" t="s">
        <v>45</v>
      </c>
      <c r="H125" s="2" t="s">
        <v>45</v>
      </c>
      <c r="I125" s="2" t="s">
        <v>45</v>
      </c>
      <c r="J125" s="2" t="s">
        <v>45</v>
      </c>
    </row>
    <row r="126" spans="1:10">
      <c r="A126" t="s">
        <v>563</v>
      </c>
      <c r="B126" t="s">
        <v>591</v>
      </c>
      <c r="C126" t="s">
        <v>583</v>
      </c>
      <c r="D126" s="2" t="s">
        <v>45</v>
      </c>
      <c r="E126" s="2" t="s">
        <v>45</v>
      </c>
      <c r="F126" s="2" t="s">
        <v>45</v>
      </c>
      <c r="G126" s="2" t="s">
        <v>45</v>
      </c>
      <c r="H126" s="2" t="s">
        <v>45</v>
      </c>
      <c r="I126" s="2" t="s">
        <v>45</v>
      </c>
      <c r="J126" s="2" t="s">
        <v>45</v>
      </c>
    </row>
    <row r="127" spans="1:10">
      <c r="A127" t="s">
        <v>563</v>
      </c>
      <c r="B127" t="s">
        <v>592</v>
      </c>
      <c r="C127" t="s">
        <v>583</v>
      </c>
      <c r="D127" s="2" t="s">
        <v>45</v>
      </c>
      <c r="E127" s="2" t="s">
        <v>45</v>
      </c>
      <c r="F127" s="2" t="s">
        <v>45</v>
      </c>
      <c r="G127" s="2" t="s">
        <v>45</v>
      </c>
      <c r="H127" s="2" t="s">
        <v>45</v>
      </c>
      <c r="I127" s="2" t="s">
        <v>45</v>
      </c>
      <c r="J127" s="2" t="s">
        <v>45</v>
      </c>
    </row>
    <row r="128" spans="1:10">
      <c r="A128" t="s">
        <v>563</v>
      </c>
      <c r="B128" t="s">
        <v>593</v>
      </c>
      <c r="C128" t="s">
        <v>583</v>
      </c>
      <c r="D128" s="2" t="s">
        <v>45</v>
      </c>
      <c r="E128" s="2" t="s">
        <v>45</v>
      </c>
      <c r="F128" s="2" t="s">
        <v>45</v>
      </c>
      <c r="G128" s="2" t="s">
        <v>45</v>
      </c>
      <c r="H128" s="2" t="s">
        <v>45</v>
      </c>
      <c r="I128" s="2" t="s">
        <v>45</v>
      </c>
      <c r="J128" s="2" t="s">
        <v>45</v>
      </c>
    </row>
    <row r="129" spans="1:10">
      <c r="A129" t="s">
        <v>594</v>
      </c>
      <c r="B129" t="s">
        <v>595</v>
      </c>
      <c r="C129" t="s">
        <v>596</v>
      </c>
      <c r="D129" s="2" t="s">
        <v>45</v>
      </c>
      <c r="E129" s="2" t="s">
        <v>45</v>
      </c>
      <c r="F129" s="2" t="s">
        <v>45</v>
      </c>
      <c r="G129" s="2" t="s">
        <v>45</v>
      </c>
      <c r="H129" s="2" t="s">
        <v>45</v>
      </c>
      <c r="I129" s="2" t="s">
        <v>45</v>
      </c>
      <c r="J129" s="2" t="s">
        <v>45</v>
      </c>
    </row>
    <row r="130" spans="1:10">
      <c r="A130" t="s">
        <v>594</v>
      </c>
      <c r="B130" t="s">
        <v>597</v>
      </c>
      <c r="C130" t="s">
        <v>598</v>
      </c>
      <c r="D130" s="2" t="s">
        <v>45</v>
      </c>
      <c r="E130" s="2" t="s">
        <v>45</v>
      </c>
      <c r="F130" s="2" t="s">
        <v>45</v>
      </c>
      <c r="G130" s="2" t="s">
        <v>45</v>
      </c>
      <c r="H130" s="2" t="s">
        <v>45</v>
      </c>
      <c r="I130" s="2" t="s">
        <v>45</v>
      </c>
      <c r="J130" s="2" t="s">
        <v>45</v>
      </c>
    </row>
    <row r="131" spans="1:10">
      <c r="A131" t="s">
        <v>594</v>
      </c>
      <c r="B131" t="s">
        <v>599</v>
      </c>
      <c r="C131" t="s">
        <v>600</v>
      </c>
      <c r="D131" s="2" t="s">
        <v>45</v>
      </c>
      <c r="E131" s="2" t="s">
        <v>45</v>
      </c>
      <c r="F131" s="2" t="s">
        <v>45</v>
      </c>
      <c r="G131" s="2" t="s">
        <v>45</v>
      </c>
      <c r="H131" s="2" t="s">
        <v>45</v>
      </c>
      <c r="I131" s="2" t="s">
        <v>45</v>
      </c>
      <c r="J131" s="2" t="s">
        <v>45</v>
      </c>
    </row>
    <row r="132" spans="1:10">
      <c r="A132" t="s">
        <v>594</v>
      </c>
      <c r="B132" t="s">
        <v>601</v>
      </c>
      <c r="C132" t="s">
        <v>602</v>
      </c>
      <c r="D132" s="2" t="s">
        <v>45</v>
      </c>
      <c r="E132" s="2" t="s">
        <v>45</v>
      </c>
      <c r="F132" s="2" t="s">
        <v>45</v>
      </c>
      <c r="G132" s="2" t="s">
        <v>45</v>
      </c>
      <c r="H132" s="2" t="s">
        <v>45</v>
      </c>
      <c r="I132" s="2" t="s">
        <v>45</v>
      </c>
      <c r="J132" s="2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7"/>
  <sheetViews>
    <sheetView zoomScale="115" zoomScaleNormal="115" workbookViewId="0">
      <selection activeCell="I25" sqref="I25"/>
    </sheetView>
  </sheetViews>
  <sheetFormatPr defaultRowHeight="15"/>
  <cols>
    <col min="1" max="1" width="9.5703125" bestFit="1" customWidth="1"/>
    <col min="2" max="2" width="27.28515625" bestFit="1" customWidth="1"/>
    <col min="3" max="3" width="31.7109375" customWidth="1"/>
    <col min="4" max="4" width="11.7109375" customWidth="1"/>
    <col min="5" max="5" width="11.7109375" bestFit="1" customWidth="1"/>
    <col min="6" max="6" width="15.42578125" bestFit="1" customWidth="1"/>
    <col min="7" max="7" width="14" customWidth="1"/>
    <col min="8" max="8" width="12.28515625" bestFit="1" customWidth="1"/>
    <col min="9" max="9" width="13.28515625" bestFit="1" customWidth="1"/>
    <col min="10" max="10" width="18.140625" bestFit="1" customWidth="1"/>
  </cols>
  <sheetData>
    <row r="1" spans="1:10">
      <c r="A1" s="1" t="s">
        <v>40</v>
      </c>
      <c r="B1" s="1" t="s">
        <v>115</v>
      </c>
      <c r="C1" s="1" t="s">
        <v>4</v>
      </c>
      <c r="D1" s="4" t="s">
        <v>6</v>
      </c>
      <c r="E1" s="4" t="s">
        <v>8</v>
      </c>
      <c r="F1" s="4" t="s">
        <v>10</v>
      </c>
      <c r="G1" s="1" t="s">
        <v>12</v>
      </c>
      <c r="H1" s="1" t="s">
        <v>14</v>
      </c>
      <c r="I1" s="1" t="s">
        <v>16</v>
      </c>
      <c r="J1" s="1" t="s">
        <v>18</v>
      </c>
    </row>
    <row r="2" spans="1:10">
      <c r="A2" t="s">
        <v>603</v>
      </c>
      <c r="B2" t="s">
        <v>604</v>
      </c>
      <c r="C2" t="s">
        <v>605</v>
      </c>
      <c r="D2" s="2" t="s">
        <v>45</v>
      </c>
      <c r="E2" s="2" t="s">
        <v>45</v>
      </c>
      <c r="F2" s="3" t="s">
        <v>606</v>
      </c>
      <c r="G2" s="2" t="s">
        <v>45</v>
      </c>
      <c r="H2" s="2" t="s">
        <v>45</v>
      </c>
      <c r="I2" s="2" t="s">
        <v>45</v>
      </c>
      <c r="J2" s="2" t="s">
        <v>45</v>
      </c>
    </row>
    <row r="3" spans="1:10">
      <c r="A3" t="s">
        <v>603</v>
      </c>
      <c r="B3" t="s">
        <v>607</v>
      </c>
      <c r="C3" t="s">
        <v>608</v>
      </c>
      <c r="D3" s="2" t="s">
        <v>45</v>
      </c>
      <c r="E3" s="2" t="s">
        <v>45</v>
      </c>
      <c r="F3" s="3" t="s">
        <v>609</v>
      </c>
      <c r="G3" s="2" t="s">
        <v>45</v>
      </c>
      <c r="H3" s="2" t="s">
        <v>45</v>
      </c>
      <c r="I3" s="2" t="s">
        <v>45</v>
      </c>
      <c r="J3" s="2" t="s">
        <v>45</v>
      </c>
    </row>
    <row r="4" spans="1:10">
      <c r="A4" t="s">
        <v>603</v>
      </c>
      <c r="B4" t="s">
        <v>610</v>
      </c>
      <c r="C4" t="s">
        <v>611</v>
      </c>
      <c r="D4" s="2" t="s">
        <v>45</v>
      </c>
      <c r="E4" s="2" t="s">
        <v>45</v>
      </c>
      <c r="F4" s="3" t="s">
        <v>612</v>
      </c>
      <c r="G4" s="2" t="s">
        <v>45</v>
      </c>
      <c r="H4" s="2" t="s">
        <v>45</v>
      </c>
      <c r="I4" s="2" t="s">
        <v>45</v>
      </c>
      <c r="J4" s="2" t="s">
        <v>45</v>
      </c>
    </row>
    <row r="5" spans="1:10">
      <c r="A5" t="s">
        <v>603</v>
      </c>
      <c r="B5" t="s">
        <v>613</v>
      </c>
      <c r="C5" t="s">
        <v>614</v>
      </c>
      <c r="D5" s="2" t="s">
        <v>45</v>
      </c>
      <c r="E5" s="2" t="s">
        <v>45</v>
      </c>
      <c r="F5" s="3" t="s">
        <v>612</v>
      </c>
      <c r="G5" s="2" t="s">
        <v>45</v>
      </c>
      <c r="H5" s="2" t="s">
        <v>45</v>
      </c>
      <c r="I5" s="2" t="s">
        <v>45</v>
      </c>
      <c r="J5" s="2" t="s">
        <v>45</v>
      </c>
    </row>
    <row r="6" spans="1:10">
      <c r="A6" t="s">
        <v>603</v>
      </c>
      <c r="B6" t="s">
        <v>615</v>
      </c>
      <c r="C6" t="s">
        <v>614</v>
      </c>
      <c r="D6" s="2" t="s">
        <v>45</v>
      </c>
      <c r="E6" s="2" t="s">
        <v>45</v>
      </c>
      <c r="F6" s="3"/>
      <c r="G6" s="2" t="s">
        <v>45</v>
      </c>
      <c r="H6" s="2" t="s">
        <v>45</v>
      </c>
      <c r="I6" s="2" t="s">
        <v>45</v>
      </c>
      <c r="J6" s="2" t="s">
        <v>45</v>
      </c>
    </row>
    <row r="7" spans="1:10">
      <c r="A7" t="s">
        <v>603</v>
      </c>
      <c r="B7" t="s">
        <v>616</v>
      </c>
      <c r="C7" t="s">
        <v>617</v>
      </c>
      <c r="D7" s="2" t="s">
        <v>45</v>
      </c>
      <c r="E7" s="2" t="s">
        <v>45</v>
      </c>
      <c r="F7" s="3"/>
      <c r="G7" s="2" t="s">
        <v>45</v>
      </c>
      <c r="H7" s="2" t="s">
        <v>45</v>
      </c>
      <c r="I7" s="2" t="s">
        <v>45</v>
      </c>
      <c r="J7" s="2" t="s">
        <v>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816CB-01C5-4CB1-9480-A3EEE6C704A9}">
  <dimension ref="A1:I9"/>
  <sheetViews>
    <sheetView zoomScale="160" zoomScaleNormal="160" workbookViewId="0">
      <selection activeCell="A16" sqref="A16:A17"/>
    </sheetView>
  </sheetViews>
  <sheetFormatPr defaultRowHeight="15"/>
  <cols>
    <col min="1" max="1" width="28.28515625" bestFit="1" customWidth="1"/>
    <col min="2" max="7" width="12.7109375" customWidth="1"/>
    <col min="8" max="8" width="13.28515625" bestFit="1" customWidth="1"/>
    <col min="9" max="9" width="18.140625" bestFit="1" customWidth="1"/>
  </cols>
  <sheetData>
    <row r="1" spans="1:9">
      <c r="A1" s="5" t="s">
        <v>618</v>
      </c>
      <c r="B1" s="1" t="s">
        <v>4</v>
      </c>
      <c r="C1" s="4" t="s">
        <v>6</v>
      </c>
      <c r="D1" s="4" t="s">
        <v>8</v>
      </c>
      <c r="E1" s="5" t="s">
        <v>10</v>
      </c>
      <c r="F1" s="1" t="s">
        <v>12</v>
      </c>
      <c r="G1" s="1" t="s">
        <v>14</v>
      </c>
      <c r="H1" s="1" t="s">
        <v>16</v>
      </c>
      <c r="I1" s="1" t="s">
        <v>18</v>
      </c>
    </row>
    <row r="2" spans="1:9">
      <c r="A2" t="s">
        <v>619</v>
      </c>
      <c r="B2">
        <v>23544</v>
      </c>
      <c r="C2">
        <v>23280</v>
      </c>
      <c r="D2">
        <v>23385</v>
      </c>
      <c r="E2">
        <v>23453</v>
      </c>
      <c r="F2">
        <v>23339</v>
      </c>
      <c r="G2">
        <v>23792</v>
      </c>
    </row>
    <row r="3" spans="1:9">
      <c r="A3" t="s">
        <v>620</v>
      </c>
      <c r="B3">
        <v>18103</v>
      </c>
      <c r="C3">
        <v>17989</v>
      </c>
      <c r="D3">
        <v>17988</v>
      </c>
      <c r="E3">
        <v>17599</v>
      </c>
      <c r="F3">
        <v>18013</v>
      </c>
      <c r="G3">
        <v>18114</v>
      </c>
    </row>
    <row r="4" spans="1:9">
      <c r="A4" t="s">
        <v>621</v>
      </c>
      <c r="B4">
        <v>4391</v>
      </c>
      <c r="C4">
        <v>4329</v>
      </c>
      <c r="D4">
        <v>4347</v>
      </c>
      <c r="E4">
        <v>4371</v>
      </c>
      <c r="F4">
        <v>4267</v>
      </c>
      <c r="G4">
        <v>4494</v>
      </c>
    </row>
    <row r="5" spans="1:9">
      <c r="A5" t="s">
        <v>622</v>
      </c>
      <c r="B5">
        <v>1050</v>
      </c>
      <c r="C5">
        <v>962</v>
      </c>
      <c r="D5">
        <v>1050</v>
      </c>
      <c r="E5">
        <v>1483</v>
      </c>
      <c r="F5">
        <v>1059</v>
      </c>
      <c r="G5">
        <v>1185</v>
      </c>
    </row>
    <row r="6" spans="1:9">
      <c r="A6" t="s">
        <v>623</v>
      </c>
      <c r="B6">
        <v>89.1</v>
      </c>
      <c r="C6">
        <v>89.9</v>
      </c>
      <c r="D6">
        <v>86.07</v>
      </c>
      <c r="E6">
        <v>100.9</v>
      </c>
      <c r="F6">
        <v>83.9</v>
      </c>
      <c r="G6">
        <v>72.8</v>
      </c>
    </row>
    <row r="7" spans="1:9">
      <c r="A7" t="s">
        <v>624</v>
      </c>
      <c r="B7">
        <v>86.03</v>
      </c>
      <c r="C7">
        <v>86.81</v>
      </c>
      <c r="D7">
        <v>86.07</v>
      </c>
      <c r="E7">
        <v>92.46</v>
      </c>
      <c r="F7">
        <v>80.86</v>
      </c>
      <c r="G7">
        <v>68.760000000000005</v>
      </c>
    </row>
    <row r="8" spans="1:9">
      <c r="A8" t="s">
        <v>625</v>
      </c>
      <c r="B8">
        <v>-0.72399999999999998</v>
      </c>
      <c r="C8">
        <v>-1.2749999999999999</v>
      </c>
      <c r="D8">
        <v>-0.71899999999999997</v>
      </c>
      <c r="E8" s="6">
        <v>3173</v>
      </c>
      <c r="F8">
        <v>-0.66100000000000003</v>
      </c>
      <c r="G8">
        <v>-1.155</v>
      </c>
    </row>
    <row r="9" spans="1:9">
      <c r="A9" t="s">
        <v>626</v>
      </c>
      <c r="B9" t="s">
        <v>627</v>
      </c>
      <c r="C9" t="s">
        <v>627</v>
      </c>
      <c r="D9" t="s">
        <v>627</v>
      </c>
      <c r="E9" t="s">
        <v>627</v>
      </c>
      <c r="F9" t="s">
        <v>628</v>
      </c>
      <c r="G9" t="s">
        <v>628</v>
      </c>
    </row>
  </sheetData>
  <conditionalFormatting sqref="B2:G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E1D8F13C92F2D4AA551A876B7C6A7A3" ma:contentTypeVersion="14" ma:contentTypeDescription="Opret et nyt dokument." ma:contentTypeScope="" ma:versionID="8dda2dd57fc26df75ab243af18280374">
  <xsd:schema xmlns:xsd="http://www.w3.org/2001/XMLSchema" xmlns:xs="http://www.w3.org/2001/XMLSchema" xmlns:p="http://schemas.microsoft.com/office/2006/metadata/properties" xmlns:ns2="53694279-be3b-48f4-abf1-f846896aa128" xmlns:ns3="fb2e3c1a-d678-4045-ab86-cec8bd5b223c" targetNamespace="http://schemas.microsoft.com/office/2006/metadata/properties" ma:root="true" ma:fieldsID="dd07e19499abe0f09366e12dd300ca23" ns2:_="" ns3:_="">
    <xsd:import namespace="53694279-be3b-48f4-abf1-f846896aa128"/>
    <xsd:import namespace="fb2e3c1a-d678-4045-ab86-cec8bd5b22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694279-be3b-48f4-abf1-f846896aa1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ledmærker" ma:readOnly="false" ma:fieldId="{5cf76f15-5ced-4ddc-b409-7134ff3c332f}" ma:taxonomyMulti="true" ma:sspId="cfe49cd5-0d4f-4079-a2e1-3a71b1890f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e3c1a-d678-4045-ab86-cec8bd5b223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81259ba-daea-4186-9ee7-5b2073ce4a5f}" ma:internalName="TaxCatchAll" ma:showField="CatchAllData" ma:web="fb2e3c1a-d678-4045-ab86-cec8bd5b22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2e3c1a-d678-4045-ab86-cec8bd5b223c" xsi:nil="true"/>
    <lcf76f155ced4ddcb4097134ff3c332f xmlns="53694279-be3b-48f4-abf1-f846896aa12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FED745-DB06-4485-A384-9D65B0BE7E03}"/>
</file>

<file path=customXml/itemProps2.xml><?xml version="1.0" encoding="utf-8"?>
<ds:datastoreItem xmlns:ds="http://schemas.openxmlformats.org/officeDocument/2006/customXml" ds:itemID="{324E28E8-2B4E-4ACE-B2A0-1F06A700D4BC}"/>
</file>

<file path=customXml/itemProps3.xml><?xml version="1.0" encoding="utf-8"?>
<ds:datastoreItem xmlns:ds="http://schemas.openxmlformats.org/officeDocument/2006/customXml" ds:itemID="{9CD3EBFE-BDD2-4DD1-A23A-FEBE2B81167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Linus Lindquist</cp:lastModifiedBy>
  <cp:revision/>
  <dcterms:created xsi:type="dcterms:W3CDTF">2025-11-11T13:40:14Z</dcterms:created>
  <dcterms:modified xsi:type="dcterms:W3CDTF">2025-11-25T14:18:11Z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0x0101003E1D8F13C92F2D4AA551A876B7C6A7A3</vt:lpwstr>
  </property>
  <property fmtid="{D5CDD505-2E9C-101B-9397-08002B2CF9AE}" pid="3" name="MediaServiceImageTags">
    <vt:lpwstr/>
  </property>
</Properties>
</file>